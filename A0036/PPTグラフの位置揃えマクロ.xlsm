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0036\python\"/>
    </mc:Choice>
  </mc:AlternateContent>
  <xr:revisionPtr revIDLastSave="0" documentId="8_{BB49DF95-AAD4-4C05-B215-E7E07CA1C181}" xr6:coauthVersionLast="47" xr6:coauthVersionMax="47" xr10:uidLastSave="{00000000-0000-0000-0000-000000000000}"/>
  <bookViews>
    <workbookView xWindow="28690" yWindow="-110" windowWidth="29020" windowHeight="15700" activeTab="5" xr2:uid="{7F98FC9D-DEDA-4A27-81CB-8ADF01153D9A}"/>
  </bookViews>
  <sheets>
    <sheet name="メモ" sheetId="10" r:id="rId1"/>
    <sheet name="4(旧)" sheetId="21" state="hidden" r:id="rId2"/>
    <sheet name="4" sheetId="25" state="hidden" r:id="rId3"/>
    <sheet name="720h残時間" sheetId="26" state="hidden" r:id="rId4"/>
    <sheet name="8(旧)" sheetId="17" state="hidden" r:id="rId5"/>
    <sheet name="マクロ" sheetId="23" r:id="rId6"/>
    <sheet name="チャート" sheetId="24" r:id="rId7"/>
  </sheets>
  <externalReferences>
    <externalReference r:id="rId8"/>
    <externalReference r:id="rId9"/>
  </externalReferences>
  <definedNames>
    <definedName name="__1FY06_" hidden="1">"EVCXEPP2Q8RU6UYDWSUG2XTDX"</definedName>
    <definedName name="_1FY06_" hidden="1">"EVCXEPP2Q8RU6UYDWSUG2XTDX"</definedName>
    <definedName name="_xlnm._FilterDatabase" localSheetId="4" hidden="1">'8(旧)'!$A$11:$AI$11</definedName>
    <definedName name="JPHoliday">[1]Value!$A$2:$A$21</definedName>
    <definedName name="SAPBEXsysID" hidden="1">"BP2"</definedName>
    <definedName name="Year">[2]Value!$E$2:$E$6</definedName>
    <definedName name="目次">"INDEX(GET.WORKBOOK(1),ROW('Files List'!A1))&amp;T(NOW())"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26" l="1"/>
  <c r="J13" i="26"/>
  <c r="J14" i="26"/>
  <c r="J15" i="26"/>
  <c r="J16" i="26"/>
  <c r="J17" i="26"/>
  <c r="J18" i="26"/>
  <c r="J19" i="26"/>
  <c r="J20" i="26"/>
  <c r="J11" i="26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D12" i="25"/>
  <c r="AE12" i="25"/>
  <c r="AF12" i="25"/>
  <c r="AG12" i="25"/>
  <c r="AH12" i="25"/>
  <c r="AI12" i="25"/>
  <c r="AJ12" i="25"/>
  <c r="AK12" i="25"/>
  <c r="AL12" i="25"/>
  <c r="AM12" i="25"/>
  <c r="AN12" i="25"/>
  <c r="AO12" i="25"/>
  <c r="AP12" i="25"/>
  <c r="AD13" i="25"/>
  <c r="AE13" i="25"/>
  <c r="AF13" i="25"/>
  <c r="AG13" i="25"/>
  <c r="AH13" i="25"/>
  <c r="AI13" i="25"/>
  <c r="AJ13" i="25"/>
  <c r="AK13" i="25"/>
  <c r="AL13" i="25"/>
  <c r="AM13" i="25"/>
  <c r="AN13" i="25"/>
  <c r="AO13" i="25"/>
  <c r="AP13" i="25"/>
  <c r="AD14" i="25"/>
  <c r="AE14" i="25"/>
  <c r="AF14" i="25"/>
  <c r="AG14" i="25"/>
  <c r="AH14" i="25"/>
  <c r="AI14" i="25"/>
  <c r="AJ14" i="25"/>
  <c r="AK14" i="25"/>
  <c r="AL14" i="25"/>
  <c r="AM14" i="25"/>
  <c r="AN14" i="25"/>
  <c r="AO14" i="25"/>
  <c r="AP14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E10" i="25"/>
  <c r="AF10" i="25"/>
  <c r="AG10" i="25"/>
  <c r="AH10" i="25"/>
  <c r="AI10" i="25"/>
  <c r="AJ10" i="25"/>
  <c r="AK10" i="25"/>
  <c r="AL10" i="25"/>
  <c r="AM10" i="25"/>
  <c r="AN10" i="25"/>
  <c r="AO10" i="25"/>
  <c r="AP10" i="25"/>
  <c r="AD10" i="25"/>
  <c r="AF19" i="21" l="1"/>
  <c r="AE19" i="21"/>
  <c r="AD19" i="21"/>
  <c r="AC19" i="21"/>
  <c r="AB19" i="21"/>
  <c r="AA19" i="21"/>
  <c r="Z19" i="21"/>
  <c r="Y19" i="21"/>
  <c r="X19" i="21"/>
  <c r="W19" i="21"/>
  <c r="AF18" i="21"/>
  <c r="AE18" i="21"/>
  <c r="AD18" i="21"/>
  <c r="AC18" i="21"/>
  <c r="AB18" i="21"/>
  <c r="AA18" i="21"/>
  <c r="Z18" i="21"/>
  <c r="Y18" i="21"/>
  <c r="X18" i="21"/>
  <c r="W18" i="21"/>
  <c r="AF17" i="21"/>
  <c r="AE17" i="21"/>
  <c r="AD17" i="21"/>
  <c r="AC17" i="21"/>
  <c r="AB17" i="21"/>
  <c r="AA17" i="21"/>
  <c r="Z17" i="21"/>
  <c r="Y17" i="21"/>
  <c r="X17" i="21"/>
  <c r="W17" i="21"/>
  <c r="AF16" i="21"/>
  <c r="AE16" i="21"/>
  <c r="AD16" i="21"/>
  <c r="AC16" i="21"/>
  <c r="AB16" i="21"/>
  <c r="AA16" i="21"/>
  <c r="Z16" i="21"/>
  <c r="Y16" i="21"/>
  <c r="X16" i="21"/>
  <c r="W16" i="21"/>
  <c r="AF15" i="21"/>
  <c r="AE15" i="21"/>
  <c r="AD15" i="21"/>
  <c r="AC15" i="21"/>
  <c r="AB15" i="21"/>
  <c r="AA15" i="21"/>
  <c r="Z15" i="21"/>
  <c r="Y15" i="21"/>
  <c r="X15" i="21"/>
  <c r="W15" i="21"/>
  <c r="AF14" i="21"/>
  <c r="AE14" i="21"/>
  <c r="AD14" i="21"/>
  <c r="AC14" i="21"/>
  <c r="AB14" i="21"/>
  <c r="AA14" i="21"/>
  <c r="Z14" i="21"/>
  <c r="Y14" i="21"/>
  <c r="X14" i="21"/>
  <c r="W14" i="21"/>
  <c r="AF13" i="21"/>
  <c r="AE13" i="21"/>
  <c r="AD13" i="21"/>
  <c r="AC13" i="21"/>
  <c r="AB13" i="21"/>
  <c r="AA13" i="21"/>
  <c r="Z13" i="21"/>
  <c r="Y13" i="21"/>
  <c r="X13" i="21"/>
  <c r="W13" i="21"/>
  <c r="AF12" i="21"/>
  <c r="AE12" i="21"/>
  <c r="AD12" i="21"/>
  <c r="AC12" i="21"/>
  <c r="AB12" i="21"/>
  <c r="AA12" i="21"/>
  <c r="Z12" i="21"/>
  <c r="Y12" i="21"/>
  <c r="X12" i="21"/>
  <c r="W12" i="21"/>
  <c r="AF28" i="21"/>
  <c r="AE28" i="21"/>
  <c r="AD28" i="21"/>
  <c r="AC28" i="21"/>
  <c r="AB28" i="21"/>
  <c r="AA28" i="21"/>
  <c r="Z28" i="21"/>
  <c r="Y28" i="21"/>
  <c r="X28" i="21"/>
  <c r="W28" i="21"/>
  <c r="AF27" i="21"/>
  <c r="AE27" i="21"/>
  <c r="AD27" i="21"/>
  <c r="AC27" i="21"/>
  <c r="AB27" i="21"/>
  <c r="AA27" i="21"/>
  <c r="Z27" i="21"/>
  <c r="Y27" i="21"/>
  <c r="X27" i="21"/>
  <c r="W27" i="21"/>
  <c r="AF26" i="21"/>
  <c r="AE26" i="21"/>
  <c r="AD26" i="21"/>
  <c r="AC26" i="21"/>
  <c r="AB26" i="21"/>
  <c r="AA26" i="21"/>
  <c r="Z26" i="21"/>
  <c r="Y26" i="21"/>
  <c r="X26" i="21"/>
  <c r="W26" i="21"/>
  <c r="AF25" i="21"/>
  <c r="AE25" i="21"/>
  <c r="AD25" i="21"/>
  <c r="AC25" i="21"/>
  <c r="AB25" i="21"/>
  <c r="AA25" i="21"/>
  <c r="Z25" i="21"/>
  <c r="Y25" i="21"/>
  <c r="X25" i="21"/>
  <c r="W25" i="21"/>
  <c r="AF24" i="21"/>
  <c r="AE24" i="21"/>
  <c r="AD24" i="21"/>
  <c r="AC24" i="21"/>
  <c r="AB24" i="21"/>
  <c r="AA24" i="21"/>
  <c r="Z24" i="21"/>
  <c r="Y24" i="21"/>
  <c r="X24" i="21"/>
  <c r="W24" i="21"/>
  <c r="AF23" i="21"/>
  <c r="AE23" i="21"/>
  <c r="AD23" i="21"/>
  <c r="AC23" i="21"/>
  <c r="AB23" i="21"/>
  <c r="AA23" i="21"/>
  <c r="Z23" i="21"/>
  <c r="Y23" i="21"/>
  <c r="X23" i="21"/>
  <c r="W23" i="21"/>
  <c r="AF22" i="21"/>
  <c r="AE22" i="21"/>
  <c r="AD22" i="21"/>
  <c r="AC22" i="21"/>
  <c r="AB22" i="21"/>
  <c r="AA22" i="21"/>
  <c r="Z22" i="21"/>
  <c r="Y22" i="21"/>
  <c r="X22" i="21"/>
  <c r="W22" i="21"/>
  <c r="AF21" i="21"/>
  <c r="AE21" i="21"/>
  <c r="AD21" i="21"/>
  <c r="AC21" i="21"/>
  <c r="AB21" i="21"/>
  <c r="AA21" i="21"/>
  <c r="Z21" i="21"/>
  <c r="Y21" i="21"/>
  <c r="X21" i="21"/>
  <c r="W21" i="21"/>
  <c r="AF20" i="21"/>
  <c r="AE20" i="21"/>
  <c r="AD20" i="21"/>
  <c r="AC20" i="21"/>
  <c r="AB20" i="21"/>
  <c r="AA20" i="21"/>
  <c r="Z20" i="21"/>
  <c r="Y20" i="21"/>
  <c r="X20" i="21"/>
  <c r="W20" i="21"/>
  <c r="W35" i="21" l="1"/>
  <c r="X35" i="21"/>
  <c r="Y35" i="21"/>
  <c r="Z35" i="21"/>
  <c r="AA35" i="21"/>
  <c r="AB35" i="21"/>
  <c r="AC35" i="21"/>
  <c r="AD35" i="21"/>
  <c r="AE35" i="21"/>
  <c r="AF35" i="21"/>
  <c r="W36" i="21"/>
  <c r="X36" i="21"/>
  <c r="Y36" i="21"/>
  <c r="Z36" i="21"/>
  <c r="AA36" i="21"/>
  <c r="AB36" i="21"/>
  <c r="AC36" i="21"/>
  <c r="AD36" i="21"/>
  <c r="AE36" i="21"/>
  <c r="AF36" i="21"/>
  <c r="W37" i="21"/>
  <c r="X37" i="21"/>
  <c r="Y37" i="21"/>
  <c r="Z37" i="21"/>
  <c r="AA37" i="21"/>
  <c r="AB37" i="21"/>
  <c r="AC37" i="21"/>
  <c r="AD37" i="21"/>
  <c r="AE37" i="21"/>
  <c r="AF37" i="21"/>
  <c r="W38" i="21"/>
  <c r="X38" i="21"/>
  <c r="Y38" i="21"/>
  <c r="Z38" i="21"/>
  <c r="AA38" i="21"/>
  <c r="AB38" i="21"/>
  <c r="AC38" i="21"/>
  <c r="AD38" i="21"/>
  <c r="AE38" i="21"/>
  <c r="AF38" i="21"/>
  <c r="W39" i="21"/>
  <c r="X39" i="21"/>
  <c r="Y39" i="21"/>
  <c r="Z39" i="21"/>
  <c r="AA39" i="21"/>
  <c r="AB39" i="21"/>
  <c r="AC39" i="21"/>
  <c r="AD39" i="21"/>
  <c r="AE39" i="21"/>
  <c r="AF39" i="21"/>
  <c r="W40" i="21"/>
  <c r="X40" i="21"/>
  <c r="Y40" i="21"/>
  <c r="Z40" i="21"/>
  <c r="AA40" i="21"/>
  <c r="AB40" i="21"/>
  <c r="AC40" i="21"/>
  <c r="AD40" i="21"/>
  <c r="AE40" i="21"/>
  <c r="AF40" i="21"/>
  <c r="AF10" i="21"/>
  <c r="AD11" i="21"/>
  <c r="AE11" i="21"/>
  <c r="AF11" i="21"/>
  <c r="AD29" i="21"/>
  <c r="AE29" i="21"/>
  <c r="AF29" i="21"/>
  <c r="AD30" i="21"/>
  <c r="AE30" i="21"/>
  <c r="AF30" i="21"/>
  <c r="AD31" i="21"/>
  <c r="AE31" i="21"/>
  <c r="AF31" i="21"/>
  <c r="AD32" i="21"/>
  <c r="AE32" i="21"/>
  <c r="AF32" i="21"/>
  <c r="AD33" i="21"/>
  <c r="AE33" i="21"/>
  <c r="AF33" i="21"/>
  <c r="AD34" i="21"/>
  <c r="AE34" i="21"/>
  <c r="AF34" i="21"/>
  <c r="AE10" i="21"/>
  <c r="AD10" i="21"/>
  <c r="W11" i="21"/>
  <c r="X11" i="21"/>
  <c r="Y11" i="21"/>
  <c r="Z11" i="21"/>
  <c r="AA11" i="21"/>
  <c r="AB11" i="21"/>
  <c r="AC11" i="21"/>
  <c r="W29" i="21"/>
  <c r="X29" i="21"/>
  <c r="Y29" i="21"/>
  <c r="Z29" i="21"/>
  <c r="AA29" i="21"/>
  <c r="AB29" i="21"/>
  <c r="AC29" i="21"/>
  <c r="W30" i="21"/>
  <c r="X30" i="21"/>
  <c r="Y30" i="21"/>
  <c r="Z30" i="21"/>
  <c r="AA30" i="21"/>
  <c r="AB30" i="21"/>
  <c r="AC30" i="21"/>
  <c r="W31" i="21"/>
  <c r="X31" i="21"/>
  <c r="Y31" i="21"/>
  <c r="Z31" i="21"/>
  <c r="AA31" i="21"/>
  <c r="AB31" i="21"/>
  <c r="AC31" i="21"/>
  <c r="W32" i="21"/>
  <c r="X32" i="21"/>
  <c r="Y32" i="21"/>
  <c r="Z32" i="21"/>
  <c r="AA32" i="21"/>
  <c r="AB32" i="21"/>
  <c r="AC32" i="21"/>
  <c r="W33" i="21"/>
  <c r="X33" i="21"/>
  <c r="Y33" i="21"/>
  <c r="Z33" i="21"/>
  <c r="AA33" i="21"/>
  <c r="AB33" i="21"/>
  <c r="AC33" i="21"/>
  <c r="W34" i="21"/>
  <c r="X34" i="21"/>
  <c r="Y34" i="21"/>
  <c r="Z34" i="21"/>
  <c r="AA34" i="21"/>
  <c r="AB34" i="21"/>
  <c r="AC34" i="21"/>
  <c r="X10" i="21"/>
  <c r="Y10" i="21"/>
  <c r="Z10" i="21"/>
  <c r="AA10" i="21"/>
  <c r="AB10" i="21"/>
  <c r="AC10" i="21"/>
  <c r="W10" i="21"/>
  <c r="Y31" i="17" l="1"/>
  <c r="Y32" i="17"/>
  <c r="Y33" i="17"/>
  <c r="Y34" i="17"/>
  <c r="Y35" i="17"/>
  <c r="Y36" i="17"/>
  <c r="Y37" i="17"/>
  <c r="Y38" i="17"/>
  <c r="Y39" i="17"/>
  <c r="Y40" i="17"/>
  <c r="Y41" i="17"/>
  <c r="Y42" i="17"/>
  <c r="Y43" i="17"/>
  <c r="Y44" i="17"/>
  <c r="Z44" i="17"/>
  <c r="AA44" i="17"/>
  <c r="AB44" i="17"/>
  <c r="AC44" i="17"/>
  <c r="AD44" i="17"/>
  <c r="AE44" i="17"/>
  <c r="AF44" i="17"/>
  <c r="AG44" i="17"/>
  <c r="AH44" i="17"/>
  <c r="AI44" i="17"/>
  <c r="Z43" i="17"/>
  <c r="AA43" i="17"/>
  <c r="AB43" i="17"/>
  <c r="AC43" i="17"/>
  <c r="AD43" i="17"/>
  <c r="AE43" i="17"/>
  <c r="AF43" i="17"/>
  <c r="AG43" i="17"/>
  <c r="AH43" i="17"/>
  <c r="AI43" i="17"/>
  <c r="Z41" i="17"/>
  <c r="AA41" i="17"/>
  <c r="AB41" i="17"/>
  <c r="AC41" i="17"/>
  <c r="AD41" i="17"/>
  <c r="AE41" i="17"/>
  <c r="AF41" i="17"/>
  <c r="AG41" i="17"/>
  <c r="AH41" i="17"/>
  <c r="AI41" i="17"/>
  <c r="Z42" i="17"/>
  <c r="AA42" i="17"/>
  <c r="AB42" i="17"/>
  <c r="AC42" i="17"/>
  <c r="AD42" i="17"/>
  <c r="AE42" i="17"/>
  <c r="AF42" i="17"/>
  <c r="AG42" i="17"/>
  <c r="AH42" i="17"/>
  <c r="AI42" i="17"/>
  <c r="AI40" i="17" l="1"/>
  <c r="AH40" i="17"/>
  <c r="AG40" i="17"/>
  <c r="AF40" i="17"/>
  <c r="AE40" i="17"/>
  <c r="AD40" i="17"/>
  <c r="AC40" i="17"/>
  <c r="AB40" i="17"/>
  <c r="AA40" i="17"/>
  <c r="Z40" i="17"/>
  <c r="AI39" i="17"/>
  <c r="AH39" i="17"/>
  <c r="AG39" i="17"/>
  <c r="AF39" i="17"/>
  <c r="AE39" i="17"/>
  <c r="AD39" i="17"/>
  <c r="AC39" i="17"/>
  <c r="AB39" i="17"/>
  <c r="AA39" i="17"/>
  <c r="Z39" i="17"/>
  <c r="AI38" i="17"/>
  <c r="AH38" i="17"/>
  <c r="AG38" i="17"/>
  <c r="AF38" i="17"/>
  <c r="AE38" i="17"/>
  <c r="AD38" i="17"/>
  <c r="AC38" i="17"/>
  <c r="AB38" i="17"/>
  <c r="AA38" i="17"/>
  <c r="Z38" i="17"/>
  <c r="AI37" i="17"/>
  <c r="AH37" i="17"/>
  <c r="AG37" i="17"/>
  <c r="AF37" i="17"/>
  <c r="AE37" i="17"/>
  <c r="AD37" i="17"/>
  <c r="AC37" i="17"/>
  <c r="AB37" i="17"/>
  <c r="AA37" i="17"/>
  <c r="Z37" i="17"/>
  <c r="AI36" i="17"/>
  <c r="AH36" i="17"/>
  <c r="AG36" i="17"/>
  <c r="AF36" i="17"/>
  <c r="AE36" i="17"/>
  <c r="AD36" i="17"/>
  <c r="AC36" i="17"/>
  <c r="AB36" i="17"/>
  <c r="AA36" i="17"/>
  <c r="Z36" i="17"/>
  <c r="AI35" i="17"/>
  <c r="AH35" i="17"/>
  <c r="AG35" i="17"/>
  <c r="AF35" i="17"/>
  <c r="AE35" i="17"/>
  <c r="AD35" i="17"/>
  <c r="AC35" i="17"/>
  <c r="AB35" i="17"/>
  <c r="AA35" i="17"/>
  <c r="Z35" i="17"/>
  <c r="AI34" i="17"/>
  <c r="AH34" i="17"/>
  <c r="AG34" i="17"/>
  <c r="AF34" i="17"/>
  <c r="AE34" i="17"/>
  <c r="AD34" i="17"/>
  <c r="AC34" i="17"/>
  <c r="AB34" i="17"/>
  <c r="AA34" i="17"/>
  <c r="Z34" i="17"/>
  <c r="AI33" i="17"/>
  <c r="AH33" i="17"/>
  <c r="AG33" i="17"/>
  <c r="AF33" i="17"/>
  <c r="AE33" i="17"/>
  <c r="AD33" i="17"/>
  <c r="AC33" i="17"/>
  <c r="AB33" i="17"/>
  <c r="AA33" i="17"/>
  <c r="Z33" i="17"/>
  <c r="AI32" i="17"/>
  <c r="AH32" i="17"/>
  <c r="AG32" i="17"/>
  <c r="AF32" i="17"/>
  <c r="AE32" i="17"/>
  <c r="AD32" i="17"/>
  <c r="AC32" i="17"/>
  <c r="AB32" i="17"/>
  <c r="AA32" i="17"/>
  <c r="Z32" i="17"/>
  <c r="AI31" i="17"/>
  <c r="AH31" i="17"/>
  <c r="AG31" i="17"/>
  <c r="AF31" i="17"/>
  <c r="AE31" i="17"/>
  <c r="AD31" i="17"/>
  <c r="AC31" i="17"/>
  <c r="AB31" i="17"/>
  <c r="AA31" i="17"/>
  <c r="Z31" i="17"/>
  <c r="AI30" i="17"/>
  <c r="AH30" i="17"/>
  <c r="AG30" i="17"/>
  <c r="AF30" i="17"/>
  <c r="AE30" i="17"/>
  <c r="AD30" i="17"/>
  <c r="AC30" i="17"/>
  <c r="AB30" i="17"/>
  <c r="AA30" i="17"/>
  <c r="Z30" i="17"/>
  <c r="Y30" i="17"/>
  <c r="AI29" i="17"/>
  <c r="AH29" i="17"/>
  <c r="AG29" i="17"/>
  <c r="AF29" i="17"/>
  <c r="AE29" i="17"/>
  <c r="AD29" i="17"/>
  <c r="AC29" i="17"/>
  <c r="AB29" i="17"/>
  <c r="AA29" i="17"/>
  <c r="Z29" i="17"/>
  <c r="Y29" i="17"/>
  <c r="AI28" i="17"/>
  <c r="AH28" i="17"/>
  <c r="AG28" i="17"/>
  <c r="AF28" i="17"/>
  <c r="AE28" i="17"/>
  <c r="AD28" i="17"/>
  <c r="AC28" i="17"/>
  <c r="AB28" i="17"/>
  <c r="AA28" i="17"/>
  <c r="Z28" i="17"/>
  <c r="Y28" i="17"/>
  <c r="AI27" i="17"/>
  <c r="AH27" i="17"/>
  <c r="AG27" i="17"/>
  <c r="AF27" i="17"/>
  <c r="AE27" i="17"/>
  <c r="AD27" i="17"/>
  <c r="AC27" i="17"/>
  <c r="AB27" i="17"/>
  <c r="AA27" i="17"/>
  <c r="Z27" i="17"/>
  <c r="Y27" i="17"/>
  <c r="AI26" i="17"/>
  <c r="AH26" i="17"/>
  <c r="AG26" i="17"/>
  <c r="AF26" i="17"/>
  <c r="AE26" i="17"/>
  <c r="AD26" i="17"/>
  <c r="AC26" i="17"/>
  <c r="AB26" i="17"/>
  <c r="AA26" i="17"/>
  <c r="Z26" i="17"/>
  <c r="Y26" i="17"/>
  <c r="AI25" i="17"/>
  <c r="AH25" i="17"/>
  <c r="AG25" i="17"/>
  <c r="AF25" i="17"/>
  <c r="AE25" i="17"/>
  <c r="AD25" i="17"/>
  <c r="AC25" i="17"/>
  <c r="AB25" i="17"/>
  <c r="AA25" i="17"/>
  <c r="Z25" i="17"/>
  <c r="Y25" i="17"/>
  <c r="AI24" i="17"/>
  <c r="AH24" i="17"/>
  <c r="AG24" i="17"/>
  <c r="AF24" i="17"/>
  <c r="AE24" i="17"/>
  <c r="AD24" i="17"/>
  <c r="AC24" i="17"/>
  <c r="AB24" i="17"/>
  <c r="AA24" i="17"/>
  <c r="Z24" i="17"/>
  <c r="Y24" i="17"/>
  <c r="AI23" i="17"/>
  <c r="AH23" i="17"/>
  <c r="AG23" i="17"/>
  <c r="AF23" i="17"/>
  <c r="AE23" i="17"/>
  <c r="AD23" i="17"/>
  <c r="AC23" i="17"/>
  <c r="AB23" i="17"/>
  <c r="AA23" i="17"/>
  <c r="Z23" i="17"/>
  <c r="Y23" i="17"/>
  <c r="AI22" i="17"/>
  <c r="AH22" i="17"/>
  <c r="AG22" i="17"/>
  <c r="AF22" i="17"/>
  <c r="AE22" i="17"/>
  <c r="AD22" i="17"/>
  <c r="AC22" i="17"/>
  <c r="AB22" i="17"/>
  <c r="AA22" i="17"/>
  <c r="Z22" i="17"/>
  <c r="Y22" i="17"/>
  <c r="AI21" i="17"/>
  <c r="AH21" i="17"/>
  <c r="AG21" i="17"/>
  <c r="AF21" i="17"/>
  <c r="AE21" i="17"/>
  <c r="AD21" i="17"/>
  <c r="AC21" i="17"/>
  <c r="AB21" i="17"/>
  <c r="AA21" i="17"/>
  <c r="Z21" i="17"/>
  <c r="Y21" i="17"/>
  <c r="AI20" i="17"/>
  <c r="AH20" i="17"/>
  <c r="AG20" i="17"/>
  <c r="AF20" i="17"/>
  <c r="AE20" i="17"/>
  <c r="AD20" i="17"/>
  <c r="AC20" i="17"/>
  <c r="AB20" i="17"/>
  <c r="AA20" i="17"/>
  <c r="Z20" i="17"/>
  <c r="Y20" i="17"/>
  <c r="AI19" i="17"/>
  <c r="AH19" i="17"/>
  <c r="AG19" i="17"/>
  <c r="AF19" i="17"/>
  <c r="AE19" i="17"/>
  <c r="AD19" i="17"/>
  <c r="AC19" i="17"/>
  <c r="AB19" i="17"/>
  <c r="AA19" i="17"/>
  <c r="Z19" i="17"/>
  <c r="Y19" i="17"/>
  <c r="AI18" i="17"/>
  <c r="AH18" i="17"/>
  <c r="AG18" i="17"/>
  <c r="AF18" i="17"/>
  <c r="AE18" i="17"/>
  <c r="AD18" i="17"/>
  <c r="AC18" i="17"/>
  <c r="AB18" i="17"/>
  <c r="AA18" i="17"/>
  <c r="Z18" i="17"/>
  <c r="Y18" i="17"/>
  <c r="AI17" i="17"/>
  <c r="AH17" i="17"/>
  <c r="AG17" i="17"/>
  <c r="AF17" i="17"/>
  <c r="AE17" i="17"/>
  <c r="AD17" i="17"/>
  <c r="AC17" i="17"/>
  <c r="AB17" i="17"/>
  <c r="AA17" i="17"/>
  <c r="Z17" i="17"/>
  <c r="Y17" i="17"/>
  <c r="AI16" i="17"/>
  <c r="AH16" i="17"/>
  <c r="AG16" i="17"/>
  <c r="AF16" i="17"/>
  <c r="AE16" i="17"/>
  <c r="AD16" i="17"/>
  <c r="AC16" i="17"/>
  <c r="AB16" i="17"/>
  <c r="AA16" i="17"/>
  <c r="Z16" i="17"/>
  <c r="Y16" i="17"/>
  <c r="AI15" i="17"/>
  <c r="AH15" i="17"/>
  <c r="AG15" i="17"/>
  <c r="AF15" i="17"/>
  <c r="AE15" i="17"/>
  <c r="AD15" i="17"/>
  <c r="AC15" i="17"/>
  <c r="AB15" i="17"/>
  <c r="AA15" i="17"/>
  <c r="Z15" i="17"/>
  <c r="Y15" i="17"/>
  <c r="AI14" i="17"/>
  <c r="AH14" i="17"/>
  <c r="AG14" i="17"/>
  <c r="AF14" i="17"/>
  <c r="AE14" i="17"/>
  <c r="AD14" i="17"/>
  <c r="AC14" i="17"/>
  <c r="AB14" i="17"/>
  <c r="AA14" i="17"/>
  <c r="Z14" i="17"/>
  <c r="Y14" i="17"/>
  <c r="AI13" i="17"/>
  <c r="AH13" i="17"/>
  <c r="AG13" i="17"/>
  <c r="AF13" i="17"/>
  <c r="AE13" i="17"/>
  <c r="AD13" i="17"/>
  <c r="AC13" i="17"/>
  <c r="AB13" i="17"/>
  <c r="AA13" i="17"/>
  <c r="Z13" i="17"/>
  <c r="Y13" i="17"/>
  <c r="AI12" i="17"/>
  <c r="AH12" i="17"/>
  <c r="AG12" i="17"/>
  <c r="AF12" i="17"/>
  <c r="AE12" i="17"/>
  <c r="AD12" i="17"/>
  <c r="AC12" i="17"/>
  <c r="AB12" i="17"/>
  <c r="AA12" i="17"/>
  <c r="Z12" i="17"/>
  <c r="Y12" i="17"/>
  <c r="AE10" i="17"/>
  <c r="Z10" i="17"/>
</calcChain>
</file>

<file path=xl/sharedStrings.xml><?xml version="1.0" encoding="utf-8"?>
<sst xmlns="http://schemas.openxmlformats.org/spreadsheetml/2006/main" count="146" uniqueCount="85">
  <si>
    <t>PPT作成(Flashのみ)</t>
    <rPh sb="3" eb="5">
      <t>サクセイ</t>
    </rPh>
    <phoneticPr fontId="2"/>
  </si>
  <si>
    <t>・文章は作業なし（リクエスタが作成）</t>
    <rPh sb="1" eb="3">
      <t>ブンショウ</t>
    </rPh>
    <rPh sb="4" eb="6">
      <t>サギョウ</t>
    </rPh>
    <rPh sb="15" eb="17">
      <t>サクセイ</t>
    </rPh>
    <phoneticPr fontId="2"/>
  </si>
  <si>
    <t>リクエスタ作成のラベル、テキストボックス等は</t>
    <rPh sb="5" eb="7">
      <t>サクセイ</t>
    </rPh>
    <rPh sb="20" eb="21">
      <t>ナド</t>
    </rPh>
    <phoneticPr fontId="2"/>
  </si>
  <si>
    <r>
      <t>「</t>
    </r>
    <r>
      <rPr>
        <b/>
        <sz val="10"/>
        <color theme="1"/>
        <rFont val="游ゴシック"/>
        <family val="3"/>
        <charset val="128"/>
        <scheme val="minor"/>
      </rPr>
      <t>m月Flash</t>
    </r>
    <r>
      <rPr>
        <sz val="10"/>
        <color theme="1"/>
        <rFont val="游ゴシック"/>
        <family val="3"/>
        <charset val="128"/>
        <scheme val="minor"/>
      </rPr>
      <t>」の</t>
    </r>
    <r>
      <rPr>
        <b/>
        <sz val="10"/>
        <color theme="1"/>
        <rFont val="游ゴシック"/>
        <family val="3"/>
        <charset val="128"/>
        <scheme val="minor"/>
      </rPr>
      <t>ｍ月のみ修正</t>
    </r>
    <r>
      <rPr>
        <sz val="10"/>
        <color theme="1"/>
        <rFont val="游ゴシック"/>
        <family val="3"/>
        <charset val="128"/>
        <scheme val="minor"/>
      </rPr>
      <t>し、それ以外は</t>
    </r>
    <r>
      <rPr>
        <b/>
        <sz val="10"/>
        <color theme="1"/>
        <rFont val="游ゴシック"/>
        <family val="3"/>
        <charset val="128"/>
        <scheme val="minor"/>
      </rPr>
      <t>修正不要</t>
    </r>
    <rPh sb="2" eb="3">
      <t>ガツ</t>
    </rPh>
    <rPh sb="11" eb="12">
      <t>ツキ</t>
    </rPh>
    <rPh sb="14" eb="16">
      <t>シュウセイ</t>
    </rPh>
    <rPh sb="20" eb="22">
      <t>イガイ</t>
    </rPh>
    <rPh sb="23" eb="25">
      <t>シュウセイ</t>
    </rPh>
    <rPh sb="25" eb="27">
      <t>フヨウ</t>
    </rPh>
    <phoneticPr fontId="2"/>
  </si>
  <si>
    <t>最終チェック</t>
    <rPh sb="0" eb="2">
      <t>サイシュウ</t>
    </rPh>
    <phoneticPr fontId="2"/>
  </si>
  <si>
    <t>列幅、表サイズを微調整（タイトル、他のテキストにかぶらない位置)</t>
    <rPh sb="0" eb="2">
      <t>レツハバ</t>
    </rPh>
    <rPh sb="3" eb="4">
      <t>ヒョウ</t>
    </rPh>
    <rPh sb="8" eb="11">
      <t>ビチョウセイ</t>
    </rPh>
    <rPh sb="17" eb="18">
      <t>ホカ</t>
    </rPh>
    <rPh sb="29" eb="31">
      <t>イチ</t>
    </rPh>
    <phoneticPr fontId="2"/>
  </si>
  <si>
    <r>
      <t xml:space="preserve">フォント </t>
    </r>
    <r>
      <rPr>
        <b/>
        <sz val="10"/>
        <color rgb="FFC00000"/>
        <rFont val="游ゴシック"/>
        <family val="3"/>
        <charset val="128"/>
        <scheme val="minor"/>
      </rPr>
      <t>Meiryo UI</t>
    </r>
    <r>
      <rPr>
        <sz val="10"/>
        <color theme="1"/>
        <rFont val="游ゴシック"/>
        <family val="3"/>
        <charset val="128"/>
        <scheme val="minor"/>
      </rPr>
      <t xml:space="preserve">   ※リクエスタコメント欄のフォントは変えない</t>
    </r>
    <rPh sb="27" eb="28">
      <t>ラン</t>
    </rPh>
    <rPh sb="34" eb="35">
      <t>カ</t>
    </rPh>
    <phoneticPr fontId="2"/>
  </si>
  <si>
    <t>フッターと表が被ったら、該当セルを選択してテーブルデザイン→塗りつぶし→白</t>
    <phoneticPr fontId="2"/>
  </si>
  <si>
    <t>m月Flashの月が全て合っているか確認</t>
    <rPh sb="1" eb="2">
      <t>ガツ</t>
    </rPh>
    <rPh sb="8" eb="9">
      <t>ツキ</t>
    </rPh>
    <rPh sb="10" eb="11">
      <t>スベ</t>
    </rPh>
    <rPh sb="12" eb="13">
      <t>ア</t>
    </rPh>
    <rPh sb="18" eb="20">
      <t>カクニン</t>
    </rPh>
    <phoneticPr fontId="2"/>
  </si>
  <si>
    <t>スライド 4</t>
    <phoneticPr fontId="2"/>
  </si>
  <si>
    <t>DC作業用</t>
    <rPh sb="2" eb="4">
      <t>サギョウ</t>
    </rPh>
    <rPh sb="4" eb="5">
      <t>ヨウ</t>
    </rPh>
    <phoneticPr fontId="2"/>
  </si>
  <si>
    <t>HC</t>
    <phoneticPr fontId="2"/>
  </si>
  <si>
    <t>Worker</t>
  </si>
  <si>
    <t>SubGroup</t>
  </si>
  <si>
    <t>Management Level</t>
  </si>
  <si>
    <t>Full</t>
  </si>
  <si>
    <t>雇用形態</t>
  </si>
  <si>
    <t>PJT</t>
  </si>
  <si>
    <t>【単月指標】 ①-3. 一人あたり月別平均残業時間</t>
    <phoneticPr fontId="2"/>
  </si>
  <si>
    <t>Per HC Avg</t>
  </si>
  <si>
    <t>Total</t>
  </si>
  <si>
    <t>Full M+</t>
  </si>
  <si>
    <t>Full M-</t>
  </si>
  <si>
    <t>RS/FT</t>
  </si>
  <si>
    <t>SP/FT</t>
  </si>
  <si>
    <r>
      <t>HCベースで多い順にならべる→</t>
    </r>
    <r>
      <rPr>
        <b/>
        <sz val="11"/>
        <color theme="1"/>
        <rFont val="Meiryo UI"/>
        <family val="3"/>
        <charset val="128"/>
      </rPr>
      <t>PerHCAvgのTotalが多い順</t>
    </r>
    <phoneticPr fontId="2"/>
  </si>
  <si>
    <t>【単月指標】 ①-2. 福岡博多FDビル　45時間超</t>
    <phoneticPr fontId="2"/>
  </si>
  <si>
    <t>勤務オフィス</t>
    <phoneticPr fontId="2"/>
  </si>
  <si>
    <t>所属オフィス</t>
    <phoneticPr fontId="2"/>
  </si>
  <si>
    <t>博多FDオフィス管理用
※2024.3～2025.2末</t>
    <phoneticPr fontId="2"/>
  </si>
  <si>
    <t>45h/月
超過回数</t>
    <phoneticPr fontId="2"/>
  </si>
  <si>
    <t>720h/年
残時間</t>
    <phoneticPr fontId="2"/>
  </si>
  <si>
    <t>45h/月超過回数が大きい順</t>
    <rPh sb="10" eb="11">
      <t>オオ</t>
    </rPh>
    <rPh sb="13" eb="14">
      <t>ジュン</t>
    </rPh>
    <phoneticPr fontId="2"/>
  </si>
  <si>
    <t>（Otherはそのままにして一番下にする）</t>
    <phoneticPr fontId="2"/>
  </si>
  <si>
    <t>Sep</t>
  </si>
  <si>
    <t>202409
Worked
OT
(Flash)</t>
    <phoneticPr fontId="2"/>
  </si>
  <si>
    <t>Sep</t>
    <phoneticPr fontId="2"/>
  </si>
  <si>
    <t>0のユニットは削除</t>
    <rPh sb="7" eb="9">
      <t>サクジョ</t>
    </rPh>
    <phoneticPr fontId="2"/>
  </si>
  <si>
    <t>その後45h/月超過回数が大きい順に並べ替え</t>
    <rPh sb="2" eb="3">
      <t>ゴ</t>
    </rPh>
    <rPh sb="18" eb="19">
      <t>ナラ</t>
    </rPh>
    <rPh sb="20" eb="21">
      <t>カ</t>
    </rPh>
    <phoneticPr fontId="2"/>
  </si>
  <si>
    <t>m月Flashシートの年間管理(博多FDオフィス管理用)45h/月超過回数を1以上でフィルタ→各項目を貼り付け</t>
    <rPh sb="1" eb="2">
      <t>ガツ</t>
    </rPh>
    <rPh sb="39" eb="41">
      <t>イジョウ</t>
    </rPh>
    <rPh sb="47" eb="50">
      <t>カクコウモク</t>
    </rPh>
    <rPh sb="51" eb="52">
      <t>ハ</t>
    </rPh>
    <rPh sb="53" eb="54">
      <t>ツ</t>
    </rPh>
    <phoneticPr fontId="2"/>
  </si>
  <si>
    <t>Summaryの当月のHC, Per HC Avgを貼り付け</t>
    <rPh sb="26" eb="27">
      <t>ハ</t>
    </rPh>
    <rPh sb="28" eb="29">
      <t>ツ</t>
    </rPh>
    <phoneticPr fontId="2"/>
  </si>
  <si>
    <t>スライド 8</t>
    <phoneticPr fontId="2"/>
  </si>
  <si>
    <t>並べ替えを行う際、Otherをそのままにする方法</t>
    <rPh sb="0" eb="1">
      <t>ナラ</t>
    </rPh>
    <rPh sb="2" eb="3">
      <t>カ</t>
    </rPh>
    <rPh sb="5" eb="6">
      <t>オコナ</t>
    </rPh>
    <rPh sb="7" eb="8">
      <t>サイ</t>
    </rPh>
    <rPh sb="22" eb="24">
      <t>ホウホウ</t>
    </rPh>
    <phoneticPr fontId="2"/>
  </si>
  <si>
    <t>①はじめに、一番下のOpthions Totalの一つ上に行を追加して、Other を入れ、もとのOtherを削除する
②下の2行（Opthions Totalと、Otherの列）以外を選択して、
並べ替えを行いたい列でユーザーの並べ替えを行う。</t>
    <rPh sb="99" eb="100">
      <t>ナラ</t>
    </rPh>
    <rPh sb="101" eb="102">
      <t>カ</t>
    </rPh>
    <rPh sb="104" eb="105">
      <t>オコナ</t>
    </rPh>
    <rPh sb="108" eb="109">
      <t>レツ</t>
    </rPh>
    <rPh sb="120" eb="121">
      <t>オコナ</t>
    </rPh>
    <phoneticPr fontId="2"/>
  </si>
  <si>
    <t>・指定された手順でのｍ月Flashシートを絞り込み転記/Summaryシートの表を貼付</t>
    <rPh sb="1" eb="3">
      <t>シテイ</t>
    </rPh>
    <rPh sb="6" eb="8">
      <t>テジュン</t>
    </rPh>
    <rPh sb="11" eb="12">
      <t>ガツ</t>
    </rPh>
    <rPh sb="21" eb="22">
      <t>シボ</t>
    </rPh>
    <rPh sb="23" eb="24">
      <t>コ</t>
    </rPh>
    <rPh sb="25" eb="27">
      <t>テンキ</t>
    </rPh>
    <rPh sb="39" eb="40">
      <t>ヒョウ</t>
    </rPh>
    <rPh sb="41" eb="43">
      <t>ハリツケ</t>
    </rPh>
    <phoneticPr fontId="2"/>
  </si>
  <si>
    <t>概要</t>
    <rPh sb="0" eb="2">
      <t>ガイヨウ</t>
    </rPh>
    <phoneticPr fontId="2"/>
  </si>
  <si>
    <t>・入力されているｍ月、Sep,Octなどを当月に修正</t>
    <rPh sb="1" eb="3">
      <t>ニュウリョク</t>
    </rPh>
    <rPh sb="9" eb="10">
      <t>ガツ</t>
    </rPh>
    <rPh sb="21" eb="23">
      <t>トウゲツ</t>
    </rPh>
    <rPh sb="24" eb="26">
      <t>シュウセイ</t>
    </rPh>
    <phoneticPr fontId="2"/>
  </si>
  <si>
    <r>
      <t xml:space="preserve">サイズ </t>
    </r>
    <r>
      <rPr>
        <b/>
        <sz val="10"/>
        <color rgb="FFC00000"/>
        <rFont val="游ゴシック"/>
        <family val="3"/>
        <charset val="128"/>
        <scheme val="minor"/>
      </rPr>
      <t>10.5-11pt</t>
    </r>
    <r>
      <rPr>
        <sz val="10"/>
        <color theme="1"/>
        <rFont val="游ゴシック"/>
        <family val="3"/>
        <charset val="128"/>
        <scheme val="minor"/>
      </rPr>
      <t xml:space="preserve"> が目安（どうしても入らないときは修正可）</t>
    </r>
    <rPh sb="23" eb="24">
      <t>ハイ</t>
    </rPh>
    <rPh sb="30" eb="32">
      <t>シュウセイ</t>
    </rPh>
    <rPh sb="32" eb="33">
      <t>カ</t>
    </rPh>
    <phoneticPr fontId="2"/>
  </si>
  <si>
    <t>・各シートはPPTのスライド番号と対応</t>
    <rPh sb="1" eb="2">
      <t>カク</t>
    </rPh>
    <rPh sb="14" eb="16">
      <t>バンゴウ</t>
    </rPh>
    <rPh sb="17" eb="19">
      <t>タイオウ</t>
    </rPh>
    <phoneticPr fontId="2"/>
  </si>
  <si>
    <t>フォーマット調整マクロ.pptmを開いて作業をお願いします。</t>
    <rPh sb="6" eb="8">
      <t>チョウセイ</t>
    </rPh>
    <rPh sb="17" eb="18">
      <t>ヒラ</t>
    </rPh>
    <rPh sb="20" eb="22">
      <t>サギョウ</t>
    </rPh>
    <rPh sb="24" eb="25">
      <t>ネガ</t>
    </rPh>
    <phoneticPr fontId="2"/>
  </si>
  <si>
    <t>【Flash】yyyymmdd_FY25 OT Data Summary_v1.0</t>
    <phoneticPr fontId="2"/>
  </si>
  <si>
    <t>【Flash】yyyymmdd_MD_Meeting_労務時間管理_v1.0</t>
    <phoneticPr fontId="2"/>
  </si>
  <si>
    <t>【修正中】参考【Flash】PPT資料_yymm_v1.00</t>
    <phoneticPr fontId="2"/>
  </si>
  <si>
    <t>フォーマット調整用マクロpptm（現在作成中のもの）</t>
    <rPh sb="6" eb="9">
      <t>チョウセイヨウ</t>
    </rPh>
    <rPh sb="17" eb="22">
      <t>ゲンザイサクセイチュウ</t>
    </rPh>
    <phoneticPr fontId="2"/>
  </si>
  <si>
    <r>
      <t>２つのマクロを実行する際は、必ず、</t>
    </r>
    <r>
      <rPr>
        <b/>
        <sz val="11"/>
        <color rgb="FFFF0000"/>
        <rFont val="游ゴシック"/>
        <family val="3"/>
        <charset val="128"/>
        <scheme val="minor"/>
      </rPr>
      <t>先月の表、今月の表の順番で２つの表が選択されている状態</t>
    </r>
    <r>
      <rPr>
        <b/>
        <sz val="11"/>
        <color theme="1"/>
        <rFont val="游ゴシック"/>
        <family val="3"/>
        <charset val="128"/>
        <scheme val="minor"/>
      </rPr>
      <t>でお願いします。</t>
    </r>
    <rPh sb="7" eb="9">
      <t>ジッコウ</t>
    </rPh>
    <rPh sb="11" eb="12">
      <t>サイ</t>
    </rPh>
    <rPh sb="14" eb="15">
      <t>カナラ</t>
    </rPh>
    <rPh sb="17" eb="19">
      <t>センゲツ</t>
    </rPh>
    <rPh sb="20" eb="21">
      <t>ヒョウ</t>
    </rPh>
    <rPh sb="22" eb="24">
      <t>コンゲツ</t>
    </rPh>
    <rPh sb="25" eb="26">
      <t>ヒョウ</t>
    </rPh>
    <rPh sb="27" eb="29">
      <t>ジュンバン</t>
    </rPh>
    <rPh sb="33" eb="34">
      <t>ヒョウ</t>
    </rPh>
    <rPh sb="35" eb="37">
      <t>センタク</t>
    </rPh>
    <rPh sb="42" eb="44">
      <t>ジョウタイ</t>
    </rPh>
    <rPh sb="46" eb="47">
      <t>ネガ</t>
    </rPh>
    <phoneticPr fontId="2"/>
  </si>
  <si>
    <t>勤務オフィス</t>
  </si>
  <si>
    <t>所属オフィス</t>
  </si>
  <si>
    <t>年間管理
(福岡TNC管理用)
※2024.10～2025.9末</t>
    <phoneticPr fontId="2"/>
  </si>
  <si>
    <t>Worker</t>
    <phoneticPr fontId="2"/>
  </si>
  <si>
    <t>202501
Worked
OT
(Flash)</t>
    <phoneticPr fontId="2"/>
  </si>
  <si>
    <t>202412
Worked
OT
(Final)</t>
    <phoneticPr fontId="2"/>
  </si>
  <si>
    <t>202411
Worked
OT
(Final)</t>
    <phoneticPr fontId="2"/>
  </si>
  <si>
    <t>Name in Japanese</t>
    <phoneticPr fontId="2"/>
  </si>
  <si>
    <t>m月Flashシートの所属・勤務オフィス両方をFukuoka, TNC TV Buildingでフィルタ→</t>
    <rPh sb="11" eb="13">
      <t>ショゾク</t>
    </rPh>
    <rPh sb="14" eb="16">
      <t>キンム</t>
    </rPh>
    <rPh sb="20" eb="22">
      <t>リョウホウ</t>
    </rPh>
    <phoneticPr fontId="2"/>
  </si>
  <si>
    <t>年間管理(通常)45h/月超過回数を1以上でフィルタ→202411のworkedOTFinalを45以上でフィルタ</t>
    <phoneticPr fontId="2"/>
  </si>
  <si>
    <t>Jia Xue</t>
  </si>
  <si>
    <t>Ohte Takenori</t>
  </si>
  <si>
    <t>Jiang Jian</t>
  </si>
  <si>
    <t>Tanaka Yoshihiro B.</t>
  </si>
  <si>
    <t>Haraguchi Miki</t>
  </si>
  <si>
    <t>202502
Worked
OT
(Flash)</t>
  </si>
  <si>
    <t>年間管理
(福岡TNC管理用)</t>
    <phoneticPr fontId="2"/>
  </si>
  <si>
    <t>202501
Worked
OT
(Final)</t>
    <phoneticPr fontId="2"/>
  </si>
  <si>
    <t>202410
Worked
OT
(Final)</t>
    <phoneticPr fontId="2"/>
  </si>
  <si>
    <t>このシートは4のシートで</t>
    <phoneticPr fontId="2"/>
  </si>
  <si>
    <t>を行った後、フィルタなどそのままの状態で使用する。</t>
    <rPh sb="1" eb="2">
      <t>オコナ</t>
    </rPh>
    <rPh sb="4" eb="5">
      <t>アト</t>
    </rPh>
    <rPh sb="17" eb="19">
      <t>ジョウタイ</t>
    </rPh>
    <rPh sb="20" eb="22">
      <t>シヨウ</t>
    </rPh>
    <phoneticPr fontId="2"/>
  </si>
  <si>
    <t>上記の状態で、各項目を貼り付け、J列（720h/年残時間）に値が720から変化するのでそれを4のシートに貼り付ける。</t>
    <rPh sb="0" eb="2">
      <t>ジョウキ</t>
    </rPh>
    <rPh sb="3" eb="5">
      <t>ジョウタイ</t>
    </rPh>
    <rPh sb="7" eb="10">
      <t>カクコウモク</t>
    </rPh>
    <rPh sb="11" eb="12">
      <t>ハ</t>
    </rPh>
    <rPh sb="13" eb="14">
      <t>ツ</t>
    </rPh>
    <rPh sb="17" eb="18">
      <t>レツ</t>
    </rPh>
    <rPh sb="30" eb="31">
      <t>アタイ</t>
    </rPh>
    <rPh sb="37" eb="39">
      <t>ヘンカ</t>
    </rPh>
    <rPh sb="52" eb="53">
      <t>ハ</t>
    </rPh>
    <rPh sb="54" eb="55">
      <t>ツ</t>
    </rPh>
    <phoneticPr fontId="2"/>
  </si>
  <si>
    <t>年間管理(福岡TNC管理用)を1以上でフィルタ→各項目を貼り付け</t>
    <phoneticPr fontId="2"/>
  </si>
  <si>
    <t>【単月指標】 ①-2. 福岡TNCビル　45時間超</t>
    <phoneticPr fontId="2"/>
  </si>
  <si>
    <t>→その後45h/月超過回数が大きい順に並べ替え</t>
    <phoneticPr fontId="2"/>
  </si>
  <si>
    <t>m月Flashシートの所属オフィスをFukuoka, TNC TV Buildingでフィルタ→</t>
    <rPh sb="11" eb="13">
      <t>ショゾク</t>
    </rPh>
    <phoneticPr fontId="2"/>
  </si>
  <si>
    <t>・該当データがない場合は右側の(もしくはマニュアルの)該当データなしの画像を貼り付ける。</t>
    <rPh sb="1" eb="3">
      <t>ガイトウ</t>
    </rPh>
    <rPh sb="9" eb="11">
      <t>バアイ</t>
    </rPh>
    <rPh sb="12" eb="14">
      <t>ミギガワ</t>
    </rPh>
    <rPh sb="27" eb="29">
      <t>ガイトウ</t>
    </rPh>
    <rPh sb="35" eb="37">
      <t>ガゾウ</t>
    </rPh>
    <rPh sb="38" eb="39">
      <t>ハ</t>
    </rPh>
    <rPh sb="40" eb="41">
      <t>ツ</t>
    </rPh>
    <phoneticPr fontId="2"/>
  </si>
  <si>
    <t>表を選択した後マクロボタン押下までの間、PPTの操作は行わないで下さい。</t>
    <rPh sb="0" eb="1">
      <t>ヒョウ</t>
    </rPh>
    <rPh sb="2" eb="4">
      <t>センタク</t>
    </rPh>
    <rPh sb="6" eb="7">
      <t>アト</t>
    </rPh>
    <rPh sb="13" eb="15">
      <t>オウカ</t>
    </rPh>
    <rPh sb="18" eb="19">
      <t>アイダ</t>
    </rPh>
    <rPh sb="24" eb="26">
      <t>ソウサ</t>
    </rPh>
    <rPh sb="27" eb="28">
      <t>オコナ</t>
    </rPh>
    <rPh sb="32" eb="33">
      <t>クダ</t>
    </rPh>
    <phoneticPr fontId="2"/>
  </si>
  <si>
    <t>202503
Worked
OT
(Flash)</t>
    <phoneticPr fontId="2"/>
  </si>
  <si>
    <t>202502
Worked
OT
(Final)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</si>
</sst>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);[Red]\(0.0\)"/>
    <numFmt numFmtId="177" formatCode="#,##0.0;[Red]\-#,##0.0"/>
    <numFmt numFmtId="179" formatCode="0_);[Red]\(0\)"/>
    <numFmt numFmtId="180" formatCode="0.00_);[Red]\(0.00\)"/>
  </numFmts>
  <fonts count="36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4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2"/>
      <color rgb="FFFF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9"/>
      <name val="Arial"/>
      <family val="2"/>
    </font>
    <font>
      <sz val="10.5"/>
      <color theme="1"/>
      <name val="Meiryo UI"/>
      <family val="3"/>
      <charset val="128"/>
    </font>
    <font>
      <b/>
      <sz val="10.5"/>
      <color theme="1"/>
      <name val="Meiryo UI"/>
      <family val="3"/>
      <charset val="128"/>
    </font>
    <font>
      <b/>
      <sz val="10.5"/>
      <color theme="0"/>
      <name val="Meiryo UI"/>
      <family val="3"/>
      <charset val="128"/>
    </font>
    <font>
      <b/>
      <sz val="9"/>
      <name val="Meiryo UI"/>
      <family val="3"/>
      <charset val="128"/>
    </font>
    <font>
      <b/>
      <sz val="10"/>
      <color rgb="FFFF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trike/>
      <sz val="10"/>
      <color theme="1"/>
      <name val="游ゴシック"/>
      <family val="3"/>
      <charset val="128"/>
      <scheme val="minor"/>
    </font>
    <font>
      <strike/>
      <sz val="10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95B3D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uble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4" fillId="0" borderId="0"/>
    <xf numFmtId="0" fontId="5" fillId="0" borderId="0"/>
    <xf numFmtId="38" fontId="1" fillId="0" borderId="0" applyFont="0" applyFill="0" applyBorder="0" applyAlignment="0" applyProtection="0">
      <alignment vertical="center"/>
    </xf>
    <xf numFmtId="0" fontId="3" fillId="0" borderId="0"/>
  </cellStyleXfs>
  <cellXfs count="157">
    <xf numFmtId="0" fontId="0" fillId="0" borderId="0" xfId="0">
      <alignment vertical="center"/>
    </xf>
    <xf numFmtId="0" fontId="6" fillId="0" borderId="3" xfId="0" applyFont="1" applyBorder="1">
      <alignment vertical="center"/>
    </xf>
    <xf numFmtId="0" fontId="7" fillId="0" borderId="3" xfId="0" applyFont="1" applyBorder="1">
      <alignment vertical="center"/>
    </xf>
    <xf numFmtId="0" fontId="6" fillId="4" borderId="10" xfId="0" applyFont="1" applyFill="1" applyBorder="1" applyAlignment="1"/>
    <xf numFmtId="0" fontId="6" fillId="0" borderId="0" xfId="0" applyFont="1">
      <alignment vertical="center"/>
    </xf>
    <xf numFmtId="0" fontId="8" fillId="0" borderId="0" xfId="0" applyFont="1">
      <alignment vertical="center"/>
    </xf>
    <xf numFmtId="177" fontId="9" fillId="6" borderId="27" xfId="5" applyNumberFormat="1" applyFont="1" applyFill="1" applyBorder="1" applyAlignment="1">
      <alignment horizontal="center"/>
    </xf>
    <xf numFmtId="177" fontId="9" fillId="6" borderId="11" xfId="5" applyNumberFormat="1" applyFont="1" applyFill="1" applyBorder="1" applyAlignment="1">
      <alignment horizontal="center"/>
    </xf>
    <xf numFmtId="177" fontId="6" fillId="4" borderId="12" xfId="5" applyNumberFormat="1" applyFont="1" applyFill="1" applyBorder="1" applyAlignment="1">
      <alignment horizontal="center"/>
    </xf>
    <xf numFmtId="177" fontId="6" fillId="7" borderId="13" xfId="5" applyNumberFormat="1" applyFont="1" applyFill="1" applyBorder="1" applyAlignment="1">
      <alignment horizontal="center"/>
    </xf>
    <xf numFmtId="177" fontId="6" fillId="4" borderId="14" xfId="5" applyNumberFormat="1" applyFont="1" applyFill="1" applyBorder="1" applyAlignment="1">
      <alignment horizontal="center"/>
    </xf>
    <xf numFmtId="177" fontId="9" fillId="6" borderId="15" xfId="5" applyNumberFormat="1" applyFont="1" applyFill="1" applyBorder="1" applyAlignment="1">
      <alignment horizontal="center"/>
    </xf>
    <xf numFmtId="177" fontId="6" fillId="8" borderId="13" xfId="5" applyNumberFormat="1" applyFont="1" applyFill="1" applyBorder="1" applyAlignment="1">
      <alignment horizontal="center"/>
    </xf>
    <xf numFmtId="177" fontId="8" fillId="0" borderId="22" xfId="5" applyNumberFormat="1" applyFont="1" applyBorder="1" applyAlignment="1">
      <alignment horizontal="right" vertical="center"/>
    </xf>
    <xf numFmtId="177" fontId="8" fillId="0" borderId="23" xfId="5" applyNumberFormat="1" applyFont="1" applyBorder="1" applyAlignment="1">
      <alignment horizontal="right" vertical="center"/>
    </xf>
    <xf numFmtId="177" fontId="8" fillId="0" borderId="18" xfId="5" applyNumberFormat="1" applyFont="1" applyBorder="1" applyAlignment="1">
      <alignment horizontal="right" vertical="center"/>
    </xf>
    <xf numFmtId="177" fontId="8" fillId="0" borderId="15" xfId="5" applyNumberFormat="1" applyFont="1" applyBorder="1" applyAlignment="1">
      <alignment horizontal="right" vertical="center"/>
    </xf>
    <xf numFmtId="0" fontId="8" fillId="8" borderId="0" xfId="0" applyFont="1" applyFill="1">
      <alignment vertical="center"/>
    </xf>
    <xf numFmtId="0" fontId="10" fillId="8" borderId="0" xfId="0" applyFont="1" applyFill="1">
      <alignment vertical="center"/>
    </xf>
    <xf numFmtId="177" fontId="8" fillId="0" borderId="15" xfId="5" applyNumberFormat="1" applyFont="1" applyFill="1" applyBorder="1" applyAlignment="1">
      <alignment horizontal="right" vertical="center"/>
    </xf>
    <xf numFmtId="177" fontId="8" fillId="0" borderId="22" xfId="5" applyNumberFormat="1" applyFont="1" applyFill="1" applyBorder="1" applyAlignment="1">
      <alignment horizontal="right" vertical="center"/>
    </xf>
    <xf numFmtId="177" fontId="8" fillId="0" borderId="23" xfId="5" applyNumberFormat="1" applyFont="1" applyFill="1" applyBorder="1" applyAlignment="1">
      <alignment horizontal="right" vertical="center"/>
    </xf>
    <xf numFmtId="177" fontId="8" fillId="0" borderId="18" xfId="5" applyNumberFormat="1" applyFont="1" applyFill="1" applyBorder="1" applyAlignment="1">
      <alignment horizontal="righ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8" fillId="0" borderId="17" xfId="0" applyFont="1" applyBorder="1">
      <alignment vertical="center"/>
    </xf>
    <xf numFmtId="0" fontId="8" fillId="0" borderId="15" xfId="0" applyFont="1" applyBorder="1">
      <alignment vertical="center"/>
    </xf>
    <xf numFmtId="0" fontId="8" fillId="0" borderId="16" xfId="0" applyFont="1" applyBorder="1">
      <alignment vertical="center"/>
    </xf>
    <xf numFmtId="0" fontId="8" fillId="0" borderId="18" xfId="0" applyFont="1" applyBorder="1">
      <alignment vertical="center"/>
    </xf>
    <xf numFmtId="0" fontId="6" fillId="4" borderId="2" xfId="0" applyFont="1" applyFill="1" applyBorder="1" applyAlignment="1"/>
    <xf numFmtId="0" fontId="10" fillId="0" borderId="3" xfId="0" applyFont="1" applyBorder="1">
      <alignment vertical="center"/>
    </xf>
    <xf numFmtId="0" fontId="6" fillId="0" borderId="4" xfId="0" applyFont="1" applyBorder="1">
      <alignment vertical="center"/>
    </xf>
    <xf numFmtId="0" fontId="10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5" fillId="2" borderId="1" xfId="1" applyFont="1" applyFill="1" applyBorder="1" applyAlignment="1">
      <alignment vertical="center" wrapText="1" readingOrder="1"/>
    </xf>
    <xf numFmtId="0" fontId="16" fillId="0" borderId="1" xfId="4" applyFont="1" applyBorder="1" applyAlignment="1">
      <alignment vertical="center"/>
    </xf>
    <xf numFmtId="0" fontId="17" fillId="0" borderId="1" xfId="1" applyFont="1" applyBorder="1" applyAlignment="1">
      <alignment vertical="center" wrapText="1" readingOrder="1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33" xfId="0" applyFont="1" applyBorder="1">
      <alignment vertical="center"/>
    </xf>
    <xf numFmtId="0" fontId="20" fillId="0" borderId="33" xfId="0" applyFont="1" applyBorder="1">
      <alignment vertical="center"/>
    </xf>
    <xf numFmtId="176" fontId="22" fillId="0" borderId="1" xfId="0" applyNumberFormat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8" fillId="9" borderId="0" xfId="0" applyFont="1" applyFill="1">
      <alignment vertical="center"/>
    </xf>
    <xf numFmtId="0" fontId="10" fillId="9" borderId="0" xfId="0" applyFont="1" applyFill="1">
      <alignment vertical="center"/>
    </xf>
    <xf numFmtId="0" fontId="8" fillId="0" borderId="20" xfId="0" applyFont="1" applyBorder="1">
      <alignment vertical="center"/>
    </xf>
    <xf numFmtId="0" fontId="8" fillId="0" borderId="34" xfId="0" applyFont="1" applyBorder="1">
      <alignment vertical="center"/>
    </xf>
    <xf numFmtId="0" fontId="8" fillId="0" borderId="19" xfId="0" applyFont="1" applyBorder="1">
      <alignment vertical="center"/>
    </xf>
    <xf numFmtId="38" fontId="8" fillId="0" borderId="15" xfId="0" applyNumberFormat="1" applyFont="1" applyBorder="1">
      <alignment vertical="center"/>
    </xf>
    <xf numFmtId="38" fontId="8" fillId="0" borderId="29" xfId="0" applyNumberFormat="1" applyFont="1" applyBorder="1">
      <alignment vertical="center"/>
    </xf>
    <xf numFmtId="38" fontId="8" fillId="0" borderId="35" xfId="0" applyNumberFormat="1" applyFont="1" applyBorder="1">
      <alignment vertical="center"/>
    </xf>
    <xf numFmtId="0" fontId="8" fillId="0" borderId="36" xfId="0" applyFont="1" applyBorder="1">
      <alignment vertical="center"/>
    </xf>
    <xf numFmtId="0" fontId="8" fillId="0" borderId="21" xfId="0" applyFont="1" applyBorder="1">
      <alignment vertical="center"/>
    </xf>
    <xf numFmtId="0" fontId="8" fillId="0" borderId="37" xfId="0" applyFont="1" applyBorder="1">
      <alignment vertical="center"/>
    </xf>
    <xf numFmtId="0" fontId="8" fillId="0" borderId="6" xfId="0" applyFont="1" applyBorder="1">
      <alignment vertical="center"/>
    </xf>
    <xf numFmtId="0" fontId="23" fillId="0" borderId="17" xfId="0" applyFont="1" applyBorder="1">
      <alignment vertical="center"/>
    </xf>
    <xf numFmtId="0" fontId="23" fillId="0" borderId="15" xfId="0" applyFont="1" applyBorder="1">
      <alignment vertical="center"/>
    </xf>
    <xf numFmtId="0" fontId="23" fillId="0" borderId="16" xfId="0" applyFont="1" applyBorder="1">
      <alignment vertical="center"/>
    </xf>
    <xf numFmtId="0" fontId="23" fillId="0" borderId="18" xfId="0" applyFont="1" applyBorder="1">
      <alignment vertical="center"/>
    </xf>
    <xf numFmtId="177" fontId="23" fillId="0" borderId="15" xfId="5" applyNumberFormat="1" applyFont="1" applyFill="1" applyBorder="1" applyAlignment="1">
      <alignment horizontal="right" vertical="center"/>
    </xf>
    <xf numFmtId="177" fontId="23" fillId="0" borderId="22" xfId="5" applyNumberFormat="1" applyFont="1" applyFill="1" applyBorder="1" applyAlignment="1">
      <alignment horizontal="right" vertical="center"/>
    </xf>
    <xf numFmtId="177" fontId="23" fillId="0" borderId="23" xfId="5" applyNumberFormat="1" applyFont="1" applyFill="1" applyBorder="1" applyAlignment="1">
      <alignment horizontal="right" vertical="center"/>
    </xf>
    <xf numFmtId="177" fontId="23" fillId="0" borderId="18" xfId="5" applyNumberFormat="1" applyFont="1" applyFill="1" applyBorder="1" applyAlignment="1">
      <alignment horizontal="right" vertical="center"/>
    </xf>
    <xf numFmtId="177" fontId="23" fillId="0" borderId="15" xfId="5" applyNumberFormat="1" applyFont="1" applyBorder="1" applyAlignment="1">
      <alignment horizontal="right" vertical="center"/>
    </xf>
    <xf numFmtId="177" fontId="23" fillId="0" borderId="22" xfId="5" applyNumberFormat="1" applyFont="1" applyBorder="1" applyAlignment="1">
      <alignment horizontal="right" vertical="center"/>
    </xf>
    <xf numFmtId="177" fontId="23" fillId="0" borderId="23" xfId="5" applyNumberFormat="1" applyFont="1" applyBorder="1" applyAlignment="1">
      <alignment horizontal="right" vertical="center"/>
    </xf>
    <xf numFmtId="177" fontId="23" fillId="0" borderId="18" xfId="5" applyNumberFormat="1" applyFont="1" applyBorder="1" applyAlignment="1">
      <alignment horizontal="right" vertical="center"/>
    </xf>
    <xf numFmtId="38" fontId="23" fillId="0" borderId="19" xfId="0" applyNumberFormat="1" applyFont="1" applyBorder="1">
      <alignment vertical="center"/>
    </xf>
    <xf numFmtId="38" fontId="23" fillId="0" borderId="20" xfId="0" applyNumberFormat="1" applyFont="1" applyBorder="1">
      <alignment vertical="center"/>
    </xf>
    <xf numFmtId="38" fontId="23" fillId="0" borderId="21" xfId="0" applyNumberFormat="1" applyFont="1" applyBorder="1">
      <alignment vertical="center"/>
    </xf>
    <xf numFmtId="177" fontId="23" fillId="0" borderId="19" xfId="5" applyNumberFormat="1" applyFont="1" applyBorder="1" applyAlignment="1">
      <alignment horizontal="right" vertical="center"/>
    </xf>
    <xf numFmtId="177" fontId="23" fillId="0" borderId="24" xfId="5" applyNumberFormat="1" applyFont="1" applyBorder="1" applyAlignment="1">
      <alignment horizontal="right" vertical="center"/>
    </xf>
    <xf numFmtId="177" fontId="23" fillId="0" borderId="25" xfId="5" applyNumberFormat="1" applyFont="1" applyBorder="1" applyAlignment="1">
      <alignment horizontal="right" vertical="center"/>
    </xf>
    <xf numFmtId="177" fontId="23" fillId="0" borderId="26" xfId="5" applyNumberFormat="1" applyFont="1" applyBorder="1" applyAlignment="1">
      <alignment horizontal="right" vertical="center"/>
    </xf>
    <xf numFmtId="0" fontId="23" fillId="5" borderId="5" xfId="0" applyFont="1" applyFill="1" applyBorder="1" applyAlignment="1">
      <alignment horizontal="left" vertical="center"/>
    </xf>
    <xf numFmtId="0" fontId="24" fillId="4" borderId="30" xfId="0" applyFont="1" applyFill="1" applyBorder="1" applyAlignment="1"/>
    <xf numFmtId="0" fontId="24" fillId="4" borderId="2" xfId="0" applyFont="1" applyFill="1" applyBorder="1" applyAlignment="1"/>
    <xf numFmtId="177" fontId="25" fillId="6" borderId="11" xfId="5" applyNumberFormat="1" applyFont="1" applyFill="1" applyBorder="1" applyAlignment="1">
      <alignment horizontal="center"/>
    </xf>
    <xf numFmtId="177" fontId="24" fillId="4" borderId="12" xfId="5" applyNumberFormat="1" applyFont="1" applyFill="1" applyBorder="1" applyAlignment="1">
      <alignment horizontal="center"/>
    </xf>
    <xf numFmtId="177" fontId="24" fillId="7" borderId="13" xfId="5" applyNumberFormat="1" applyFont="1" applyFill="1" applyBorder="1" applyAlignment="1">
      <alignment horizontal="center"/>
    </xf>
    <xf numFmtId="177" fontId="24" fillId="4" borderId="14" xfId="5" applyNumberFormat="1" applyFont="1" applyFill="1" applyBorder="1" applyAlignment="1">
      <alignment horizontal="center"/>
    </xf>
    <xf numFmtId="177" fontId="25" fillId="6" borderId="27" xfId="5" applyNumberFormat="1" applyFont="1" applyFill="1" applyBorder="1" applyAlignment="1">
      <alignment horizontal="center"/>
    </xf>
    <xf numFmtId="177" fontId="24" fillId="8" borderId="13" xfId="5" applyNumberFormat="1" applyFont="1" applyFill="1" applyBorder="1" applyAlignment="1">
      <alignment horizontal="center"/>
    </xf>
    <xf numFmtId="49" fontId="12" fillId="3" borderId="1" xfId="3" applyNumberFormat="1" applyFont="1" applyFill="1" applyBorder="1" applyAlignment="1">
      <alignment horizontal="center" vertical="center" wrapText="1"/>
    </xf>
    <xf numFmtId="176" fontId="10" fillId="11" borderId="1" xfId="2" applyNumberFormat="1" applyFont="1" applyFill="1" applyBorder="1" applyAlignment="1">
      <alignment horizontal="center" vertical="center" wrapText="1"/>
    </xf>
    <xf numFmtId="49" fontId="10" fillId="11" borderId="1" xfId="3" applyNumberFormat="1" applyFont="1" applyFill="1" applyBorder="1" applyAlignment="1">
      <alignment horizontal="center" vertical="center" wrapText="1"/>
    </xf>
    <xf numFmtId="0" fontId="15" fillId="2" borderId="42" xfId="1" applyFont="1" applyFill="1" applyBorder="1" applyAlignment="1">
      <alignment vertical="center" wrapText="1" readingOrder="1"/>
    </xf>
    <xf numFmtId="0" fontId="15" fillId="2" borderId="43" xfId="1" applyFont="1" applyFill="1" applyBorder="1" applyAlignment="1">
      <alignment vertical="center" wrapText="1" readingOrder="1"/>
    </xf>
    <xf numFmtId="176" fontId="10" fillId="11" borderId="44" xfId="2" applyNumberFormat="1" applyFont="1" applyFill="1" applyBorder="1" applyAlignment="1">
      <alignment horizontal="center" vertical="center" wrapText="1"/>
    </xf>
    <xf numFmtId="49" fontId="10" fillId="11" borderId="45" xfId="3" applyNumberFormat="1" applyFont="1" applyFill="1" applyBorder="1" applyAlignment="1">
      <alignment horizontal="center" vertical="center" wrapText="1"/>
    </xf>
    <xf numFmtId="49" fontId="12" fillId="3" borderId="46" xfId="3" applyNumberFormat="1" applyFont="1" applyFill="1" applyBorder="1" applyAlignment="1">
      <alignment horizontal="center" vertical="center" wrapText="1"/>
    </xf>
    <xf numFmtId="0" fontId="16" fillId="0" borderId="47" xfId="4" applyFont="1" applyBorder="1" applyAlignment="1">
      <alignment vertical="center"/>
    </xf>
    <xf numFmtId="0" fontId="17" fillId="0" borderId="47" xfId="1" applyFont="1" applyBorder="1" applyAlignment="1">
      <alignment vertical="center" wrapText="1" readingOrder="1"/>
    </xf>
    <xf numFmtId="0" fontId="17" fillId="0" borderId="48" xfId="1" applyFont="1" applyBorder="1" applyAlignment="1">
      <alignment vertical="center" wrapText="1" readingOrder="1"/>
    </xf>
    <xf numFmtId="179" fontId="22" fillId="0" borderId="49" xfId="0" applyNumberFormat="1" applyFont="1" applyBorder="1" applyAlignment="1">
      <alignment horizontal="center" vertical="center"/>
    </xf>
    <xf numFmtId="180" fontId="8" fillId="0" borderId="48" xfId="0" applyNumberFormat="1" applyFont="1" applyBorder="1" applyAlignment="1">
      <alignment horizontal="center" vertical="center"/>
    </xf>
    <xf numFmtId="180" fontId="8" fillId="0" borderId="50" xfId="0" applyNumberFormat="1" applyFont="1" applyBorder="1" applyAlignment="1">
      <alignment horizontal="center" vertical="center"/>
    </xf>
    <xf numFmtId="0" fontId="17" fillId="0" borderId="51" xfId="1" applyFont="1" applyBorder="1" applyAlignment="1">
      <alignment vertical="center" wrapText="1" readingOrder="1"/>
    </xf>
    <xf numFmtId="180" fontId="8" fillId="0" borderId="51" xfId="0" applyNumberFormat="1" applyFont="1" applyBorder="1" applyAlignment="1">
      <alignment horizontal="center" vertical="center"/>
    </xf>
    <xf numFmtId="180" fontId="8" fillId="0" borderId="52" xfId="0" applyNumberFormat="1" applyFont="1" applyBorder="1" applyAlignment="1">
      <alignment horizontal="center" vertical="center"/>
    </xf>
    <xf numFmtId="0" fontId="22" fillId="0" borderId="53" xfId="0" applyFont="1" applyBorder="1">
      <alignment vertical="center"/>
    </xf>
    <xf numFmtId="0" fontId="27" fillId="0" borderId="0" xfId="0" applyFont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8" borderId="0" xfId="0" applyFill="1">
      <alignment vertical="center"/>
    </xf>
    <xf numFmtId="0" fontId="0" fillId="11" borderId="0" xfId="0" applyFill="1">
      <alignment vertical="center"/>
    </xf>
    <xf numFmtId="0" fontId="28" fillId="12" borderId="0" xfId="0" applyFont="1" applyFill="1">
      <alignment vertical="center"/>
    </xf>
    <xf numFmtId="0" fontId="28" fillId="13" borderId="0" xfId="0" applyFont="1" applyFill="1">
      <alignment vertical="center"/>
    </xf>
    <xf numFmtId="0" fontId="28" fillId="8" borderId="0" xfId="0" applyFont="1" applyFill="1">
      <alignment vertical="center"/>
    </xf>
    <xf numFmtId="0" fontId="28" fillId="11" borderId="0" xfId="0" applyFont="1" applyFill="1">
      <alignment vertical="center"/>
    </xf>
    <xf numFmtId="0" fontId="29" fillId="14" borderId="0" xfId="0" applyFont="1" applyFill="1">
      <alignment vertical="center"/>
    </xf>
    <xf numFmtId="0" fontId="30" fillId="14" borderId="0" xfId="0" applyFont="1" applyFill="1">
      <alignment vertical="center"/>
    </xf>
    <xf numFmtId="0" fontId="2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15" fillId="0" borderId="56" xfId="0" applyFont="1" applyBorder="1" applyAlignment="1">
      <alignment horizontal="center" vertical="center" wrapText="1" readingOrder="1"/>
    </xf>
    <xf numFmtId="0" fontId="15" fillId="0" borderId="57" xfId="0" applyFont="1" applyBorder="1" applyAlignment="1">
      <alignment horizontal="center" vertical="center" wrapText="1" readingOrder="1"/>
    </xf>
    <xf numFmtId="0" fontId="15" fillId="16" borderId="57" xfId="0" applyFont="1" applyFill="1" applyBorder="1" applyAlignment="1">
      <alignment horizontal="center" vertical="center" wrapText="1" readingOrder="1"/>
    </xf>
    <xf numFmtId="0" fontId="12" fillId="3" borderId="58" xfId="0" applyFont="1" applyFill="1" applyBorder="1" applyAlignment="1">
      <alignment horizontal="center" vertical="center" wrapText="1" readingOrder="1"/>
    </xf>
    <xf numFmtId="0" fontId="15" fillId="17" borderId="59" xfId="0" applyFont="1" applyFill="1" applyBorder="1" applyAlignment="1">
      <alignment horizontal="center" vertical="center" wrapText="1" readingOrder="1"/>
    </xf>
    <xf numFmtId="0" fontId="15" fillId="17" borderId="58" xfId="0" applyFont="1" applyFill="1" applyBorder="1" applyAlignment="1">
      <alignment horizontal="center" vertical="center" wrapText="1" readingOrder="1"/>
    </xf>
    <xf numFmtId="0" fontId="15" fillId="3" borderId="59" xfId="0" applyFont="1" applyFill="1" applyBorder="1" applyAlignment="1">
      <alignment horizontal="center" vertical="center" wrapText="1" readingOrder="1"/>
    </xf>
    <xf numFmtId="0" fontId="15" fillId="3" borderId="60" xfId="0" applyFont="1" applyFill="1" applyBorder="1" applyAlignment="1">
      <alignment horizontal="center" vertical="center" wrapText="1" readingOrder="1"/>
    </xf>
    <xf numFmtId="0" fontId="0" fillId="0" borderId="1" xfId="0" applyBorder="1">
      <alignment vertical="center"/>
    </xf>
    <xf numFmtId="0" fontId="15" fillId="15" borderId="54" xfId="0" applyFont="1" applyFill="1" applyBorder="1" applyAlignment="1">
      <alignment horizontal="center" vertical="center" wrapText="1" readingOrder="1"/>
    </xf>
    <xf numFmtId="176" fontId="32" fillId="0" borderId="61" xfId="0" applyNumberFormat="1" applyFont="1" applyBorder="1" applyAlignment="1">
      <alignment horizontal="center" vertical="center"/>
    </xf>
    <xf numFmtId="49" fontId="34" fillId="3" borderId="62" xfId="3" applyNumberFormat="1" applyFont="1" applyFill="1" applyBorder="1" applyAlignment="1">
      <alignment horizontal="center" vertical="center" wrapText="1"/>
    </xf>
    <xf numFmtId="176" fontId="35" fillId="3" borderId="42" xfId="2" applyNumberFormat="1" applyFont="1" applyFill="1" applyBorder="1" applyAlignment="1">
      <alignment horizontal="center" vertical="center" wrapText="1"/>
    </xf>
    <xf numFmtId="0" fontId="33" fillId="0" borderId="42" xfId="0" applyFont="1" applyBorder="1" applyAlignment="1">
      <alignment horizontal="left" vertical="center" wrapText="1"/>
    </xf>
    <xf numFmtId="180" fontId="0" fillId="0" borderId="0" xfId="0" applyNumberFormat="1">
      <alignment vertical="center"/>
    </xf>
    <xf numFmtId="0" fontId="15" fillId="17" borderId="63" xfId="0" applyFont="1" applyFill="1" applyBorder="1" applyAlignment="1">
      <alignment horizontal="center" vertical="center" wrapText="1" readingOrder="1"/>
    </xf>
    <xf numFmtId="180" fontId="0" fillId="0" borderId="1" xfId="0" applyNumberFormat="1" applyBorder="1">
      <alignment vertical="center"/>
    </xf>
    <xf numFmtId="0" fontId="8" fillId="0" borderId="53" xfId="0" applyFont="1" applyBorder="1">
      <alignment vertical="center"/>
    </xf>
    <xf numFmtId="0" fontId="0" fillId="0" borderId="53" xfId="0" applyBorder="1">
      <alignment vertical="center"/>
    </xf>
    <xf numFmtId="0" fontId="30" fillId="14" borderId="0" xfId="0" applyFont="1" applyFill="1" applyAlignment="1">
      <alignment vertical="center" wrapText="1"/>
    </xf>
    <xf numFmtId="0" fontId="30" fillId="14" borderId="0" xfId="0" applyFont="1" applyFill="1">
      <alignment vertical="center"/>
    </xf>
    <xf numFmtId="0" fontId="26" fillId="10" borderId="40" xfId="0" applyFont="1" applyFill="1" applyBorder="1" applyAlignment="1">
      <alignment horizontal="center" vertical="center" wrapText="1"/>
    </xf>
    <xf numFmtId="0" fontId="26" fillId="10" borderId="41" xfId="0" applyFont="1" applyFill="1" applyBorder="1" applyAlignment="1">
      <alignment horizontal="center" vertical="center"/>
    </xf>
    <xf numFmtId="0" fontId="10" fillId="10" borderId="38" xfId="0" applyFont="1" applyFill="1" applyBorder="1" applyAlignment="1">
      <alignment horizontal="center" vertical="center" wrapText="1"/>
    </xf>
    <xf numFmtId="0" fontId="10" fillId="10" borderId="39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3" fillId="0" borderId="0" xfId="0" applyFont="1" applyAlignment="1">
      <alignment horizontal="left" vertical="center" wrapText="1"/>
    </xf>
    <xf numFmtId="0" fontId="15" fillId="15" borderId="54" xfId="0" applyFont="1" applyFill="1" applyBorder="1" applyAlignment="1">
      <alignment horizontal="center" vertical="center" wrapText="1" readingOrder="1"/>
    </xf>
    <xf numFmtId="0" fontId="15" fillId="15" borderId="55" xfId="0" applyFont="1" applyFill="1" applyBorder="1" applyAlignment="1">
      <alignment horizontal="center" vertical="center" wrapText="1" readingOrder="1"/>
    </xf>
    <xf numFmtId="177" fontId="6" fillId="4" borderId="31" xfId="5" applyNumberFormat="1" applyFont="1" applyFill="1" applyBorder="1" applyAlignment="1">
      <alignment horizontal="center"/>
    </xf>
    <xf numFmtId="177" fontId="6" fillId="4" borderId="28" xfId="5" applyNumberFormat="1" applyFont="1" applyFill="1" applyBorder="1" applyAlignment="1">
      <alignment horizontal="center"/>
    </xf>
    <xf numFmtId="177" fontId="6" fillId="4" borderId="32" xfId="5" applyNumberFormat="1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 vertical="center"/>
    </xf>
    <xf numFmtId="0" fontId="23" fillId="5" borderId="8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177" fontId="23" fillId="5" borderId="7" xfId="5" applyNumberFormat="1" applyFont="1" applyFill="1" applyBorder="1" applyAlignment="1">
      <alignment horizontal="center" vertical="center"/>
    </xf>
    <xf numFmtId="177" fontId="23" fillId="5" borderId="8" xfId="5" applyNumberFormat="1" applyFont="1" applyFill="1" applyBorder="1" applyAlignment="1">
      <alignment horizontal="center" vertical="center"/>
    </xf>
    <xf numFmtId="177" fontId="23" fillId="5" borderId="9" xfId="5" applyNumberFormat="1" applyFont="1" applyFill="1" applyBorder="1" applyAlignment="1">
      <alignment horizontal="center" vertical="center"/>
    </xf>
    <xf numFmtId="177" fontId="24" fillId="4" borderId="31" xfId="5" applyNumberFormat="1" applyFont="1" applyFill="1" applyBorder="1" applyAlignment="1">
      <alignment horizontal="center"/>
    </xf>
    <xf numFmtId="177" fontId="24" fillId="4" borderId="28" xfId="5" applyNumberFormat="1" applyFont="1" applyFill="1" applyBorder="1" applyAlignment="1">
      <alignment horizontal="center"/>
    </xf>
    <xf numFmtId="177" fontId="24" fillId="4" borderId="32" xfId="5" applyNumberFormat="1" applyFont="1" applyFill="1" applyBorder="1" applyAlignment="1">
      <alignment horizontal="center"/>
    </xf>
  </cellXfs>
  <cellStyles count="7">
    <cellStyle name="Normal 13" xfId="1" xr:uid="{CFF077F9-DE19-49F3-9C6E-5D7FD25B1C3A}"/>
    <cellStyle name="Normal 2" xfId="4" xr:uid="{88DD976A-ED19-41FB-8C9E-68D080510B99}"/>
    <cellStyle name="桁区切り" xfId="5" builtinId="6"/>
    <cellStyle name="標準" xfId="0" builtinId="0"/>
    <cellStyle name="標準 3" xfId="2" xr:uid="{4A41785B-6C53-4C6A-A8C1-AC2D9B69DE1B}"/>
    <cellStyle name="標準 3 2" xfId="6" xr:uid="{CFF34500-8AB3-4949-879C-735DCFA4D3EA}"/>
    <cellStyle name="標準_Actual Working Hours 201001(flash)" xfId="3" xr:uid="{26B661AA-4582-4B4B-B06D-B92E33761B04}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609600</xdr:colOff>
      <xdr:row>21</xdr:row>
      <xdr:rowOff>222250</xdr:rowOff>
    </xdr:from>
    <xdr:to>
      <xdr:col>7</xdr:col>
      <xdr:colOff>409701</xdr:colOff>
      <xdr:row>25</xdr:row>
      <xdr:rowOff>9556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AD87700-1D0E-4834-9832-2534733F7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5850" y="4641850"/>
          <a:ext cx="2444876" cy="641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10</xdr:col>
      <xdr:colOff>6350</xdr:colOff>
      <xdr:row>15</xdr:row>
      <xdr:rowOff>6350</xdr:rowOff>
    </xdr:from>
    <xdr:to>
      <xdr:col>16</xdr:col>
      <xdr:colOff>653331</xdr:colOff>
      <xdr:row>18</xdr:row>
      <xdr:rowOff>153203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29E29D-14FD-FEAE-CF94-44102DDE658A}"/>
            </a:ext>
          </a:extLst>
        </xdr:cNvPr>
        <xdr:cNvSpPr/>
      </xdr:nvSpPr>
      <xdr:spPr>
        <a:xfrm>
          <a:off x="6318250" y="3181350"/>
          <a:ext cx="4571281" cy="775503"/>
        </a:xfrm>
        <a:prstGeom prst="rect">
          <a:avLst/>
        </a:prstGeom>
        <a:solidFill>
          <a:schemeClr val="accent5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kumimoji="1" lang="ja-JP" altLang="en-US"/>
            <a:t>該当データなし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544286</xdr:colOff>
      <xdr:row>1</xdr:row>
      <xdr:rowOff>34471</xdr:rowOff>
    </xdr:from>
    <xdr:to>
      <xdr:col>4</xdr:col>
      <xdr:colOff>662714</xdr:colOff>
      <xdr:row>3</xdr:row>
      <xdr:rowOff>13471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67D5EDD-FB7E-4427-BCDB-E0D527D30EDF}"/>
            </a:ext>
          </a:extLst>
        </xdr:cNvPr>
        <xdr:cNvSpPr/>
      </xdr:nvSpPr>
      <xdr:spPr>
        <a:xfrm>
          <a:off x="3363686" y="224971"/>
          <a:ext cx="1083628" cy="360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2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ｍ月</a:t>
          </a:r>
          <a:r>
            <a:rPr lang="en-US" altLang="ja-JP" sz="12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flash</a:t>
          </a:r>
          <a:endParaRPr kumimoji="1" lang="ja-JP" altLang="en-US" sz="1200" b="1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881743</xdr:colOff>
      <xdr:row>0</xdr:row>
      <xdr:rowOff>117929</xdr:rowOff>
    </xdr:from>
    <xdr:to>
      <xdr:col>5</xdr:col>
      <xdr:colOff>784224</xdr:colOff>
      <xdr:row>5</xdr:row>
      <xdr:rowOff>90714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F110D50F-A7DF-4798-ADAB-A246AB302EFE}"/>
            </a:ext>
          </a:extLst>
        </xdr:cNvPr>
        <xdr:cNvSpPr/>
      </xdr:nvSpPr>
      <xdr:spPr>
        <a:xfrm>
          <a:off x="4646386" y="117929"/>
          <a:ext cx="1698624" cy="92528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PPT</a:t>
          </a:r>
          <a:r>
            <a:rPr lang="ja-JP" altLang="en-US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貼りつけ後フォント</a:t>
          </a:r>
          <a:b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</a:br>
          <a: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Meiryo UI</a:t>
          </a:r>
          <a:endParaRPr kumimoji="1" lang="ja-JP" altLang="en-US" sz="1100" b="1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oneCell">
    <xdr:from>
      <xdr:col>6</xdr:col>
      <xdr:colOff>117928</xdr:colOff>
      <xdr:row>0</xdr:row>
      <xdr:rowOff>54428</xdr:rowOff>
    </xdr:from>
    <xdr:to>
      <xdr:col>7</xdr:col>
      <xdr:colOff>874637</xdr:colOff>
      <xdr:row>8</xdr:row>
      <xdr:rowOff>22755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7A92DC3-6C46-8A33-5510-0BC2275FC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857" y="54428"/>
          <a:ext cx="2933851" cy="1492327"/>
        </a:xfrm>
        <a:prstGeom prst="rect">
          <a:avLst/>
        </a:prstGeom>
      </xdr:spPr>
    </xdr:pic>
    <xdr:clientData/>
  </xdr:twoCellAnchor>
  <xdr:twoCellAnchor>
    <xdr:from>
      <xdr:col>6</xdr:col>
      <xdr:colOff>1669142</xdr:colOff>
      <xdr:row>6</xdr:row>
      <xdr:rowOff>117929</xdr:rowOff>
    </xdr:from>
    <xdr:to>
      <xdr:col>6</xdr:col>
      <xdr:colOff>1932214</xdr:colOff>
      <xdr:row>8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BF97607D-7EED-87D7-B47D-5241760EDCD9}"/>
            </a:ext>
          </a:extLst>
        </xdr:cNvPr>
        <xdr:cNvSpPr/>
      </xdr:nvSpPr>
      <xdr:spPr>
        <a:xfrm>
          <a:off x="9407071" y="1260929"/>
          <a:ext cx="263072" cy="26307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 editAs="oneCell">
    <xdr:from>
      <xdr:col>7</xdr:col>
      <xdr:colOff>1415143</xdr:colOff>
      <xdr:row>0</xdr:row>
      <xdr:rowOff>0</xdr:rowOff>
    </xdr:from>
    <xdr:to>
      <xdr:col>9</xdr:col>
      <xdr:colOff>671285</xdr:colOff>
      <xdr:row>7</xdr:row>
      <xdr:rowOff>74889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2B2BBB4B-E61E-522F-DBC9-BA608775C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0214" y="0"/>
          <a:ext cx="2394857" cy="1408389"/>
        </a:xfrm>
        <a:prstGeom prst="rect">
          <a:avLst/>
        </a:prstGeom>
      </xdr:spPr>
    </xdr:pic>
    <xdr:clientData/>
  </xdr:twoCellAnchor>
  <xdr:twoCellAnchor>
    <xdr:from>
      <xdr:col>7</xdr:col>
      <xdr:colOff>1685471</xdr:colOff>
      <xdr:row>3</xdr:row>
      <xdr:rowOff>16329</xdr:rowOff>
    </xdr:from>
    <xdr:to>
      <xdr:col>7</xdr:col>
      <xdr:colOff>1941286</xdr:colOff>
      <xdr:row>5</xdr:row>
      <xdr:rowOff>163286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FF8F746E-073D-4A4C-831B-703FA5CF2D9C}"/>
            </a:ext>
          </a:extLst>
        </xdr:cNvPr>
        <xdr:cNvSpPr/>
      </xdr:nvSpPr>
      <xdr:spPr>
        <a:xfrm>
          <a:off x="11600542" y="587829"/>
          <a:ext cx="255815" cy="52795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1034143</xdr:colOff>
      <xdr:row>3</xdr:row>
      <xdr:rowOff>154214</xdr:rowOff>
    </xdr:from>
    <xdr:to>
      <xdr:col>7</xdr:col>
      <xdr:colOff>1397000</xdr:colOff>
      <xdr:row>5</xdr:row>
      <xdr:rowOff>127000</xdr:rowOff>
    </xdr:to>
    <xdr:sp macro="" textlink="">
      <xdr:nvSpPr>
        <xdr:cNvPr id="8" name="矢印: 右 7">
          <a:extLst>
            <a:ext uri="{FF2B5EF4-FFF2-40B4-BE49-F238E27FC236}">
              <a16:creationId xmlns:a16="http://schemas.microsoft.com/office/drawing/2014/main" id="{9814B4D5-02B6-9BF4-02D4-D487AEDC6C51}"/>
            </a:ext>
          </a:extLst>
        </xdr:cNvPr>
        <xdr:cNvSpPr/>
      </xdr:nvSpPr>
      <xdr:spPr>
        <a:xfrm>
          <a:off x="10949214" y="725714"/>
          <a:ext cx="362857" cy="353786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328706</xdr:colOff>
      <xdr:row>0</xdr:row>
      <xdr:rowOff>43754</xdr:rowOff>
    </xdr:from>
    <xdr:to>
      <xdr:col>12</xdr:col>
      <xdr:colOff>200336</xdr:colOff>
      <xdr:row>6</xdr:row>
      <xdr:rowOff>190500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895DC91D-4D7E-F42F-5C5A-D94EC8444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1777" y="43754"/>
          <a:ext cx="2075988" cy="1507460"/>
        </a:xfrm>
        <a:prstGeom prst="rect">
          <a:avLst/>
        </a:prstGeom>
      </xdr:spPr>
    </xdr:pic>
    <xdr:clientData/>
  </xdr:twoCellAnchor>
  <xdr:twoCellAnchor editAs="oneCell">
    <xdr:from>
      <xdr:col>16</xdr:col>
      <xdr:colOff>353785</xdr:colOff>
      <xdr:row>0</xdr:row>
      <xdr:rowOff>90714</xdr:rowOff>
    </xdr:from>
    <xdr:to>
      <xdr:col>19</xdr:col>
      <xdr:colOff>54430</xdr:colOff>
      <xdr:row>8</xdr:row>
      <xdr:rowOff>163286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F293CD07-A625-46D8-6BEF-4B0A60B01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65214" y="90714"/>
          <a:ext cx="1687287" cy="1886858"/>
        </a:xfrm>
        <a:prstGeom prst="rect">
          <a:avLst/>
        </a:prstGeom>
      </xdr:spPr>
    </xdr:pic>
    <xdr:clientData/>
  </xdr:twoCellAnchor>
  <xdr:twoCellAnchor>
    <xdr:from>
      <xdr:col>5</xdr:col>
      <xdr:colOff>36285</xdr:colOff>
      <xdr:row>0</xdr:row>
      <xdr:rowOff>163286</xdr:rowOff>
    </xdr:from>
    <xdr:to>
      <xdr:col>6</xdr:col>
      <xdr:colOff>381500</xdr:colOff>
      <xdr:row>2</xdr:row>
      <xdr:rowOff>69715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24994688-D1A6-49C9-BDFD-ED755BF958CC}"/>
            </a:ext>
          </a:extLst>
        </xdr:cNvPr>
        <xdr:cNvSpPr/>
      </xdr:nvSpPr>
      <xdr:spPr>
        <a:xfrm>
          <a:off x="3710214" y="163286"/>
          <a:ext cx="1080000" cy="360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2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ｍ月</a:t>
          </a:r>
          <a:r>
            <a:rPr lang="en-US" altLang="ja-JP" sz="12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flash</a:t>
          </a:r>
          <a:endParaRPr kumimoji="1" lang="ja-JP" altLang="en-US" sz="1200" b="1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54429</xdr:colOff>
      <xdr:row>0</xdr:row>
      <xdr:rowOff>117929</xdr:rowOff>
    </xdr:from>
    <xdr:to>
      <xdr:col>9</xdr:col>
      <xdr:colOff>117929</xdr:colOff>
      <xdr:row>3</xdr:row>
      <xdr:rowOff>208643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2ABD7FCE-0D5D-4CCB-BF0F-52A9D615807B}"/>
            </a:ext>
          </a:extLst>
        </xdr:cNvPr>
        <xdr:cNvSpPr/>
      </xdr:nvSpPr>
      <xdr:spPr>
        <a:xfrm>
          <a:off x="5197929" y="117929"/>
          <a:ext cx="1533071" cy="77107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PPT</a:t>
          </a:r>
          <a:r>
            <a:rPr lang="ja-JP" altLang="en-US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貼りつけ後フォント</a:t>
          </a:r>
          <a:b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</a:br>
          <a: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Meiryo UI</a:t>
          </a:r>
          <a:endParaRPr kumimoji="1" lang="ja-JP" altLang="en-US" sz="1100" b="1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oneCell">
    <xdr:from>
      <xdr:col>12</xdr:col>
      <xdr:colOff>416458</xdr:colOff>
      <xdr:row>0</xdr:row>
      <xdr:rowOff>63500</xdr:rowOff>
    </xdr:from>
    <xdr:to>
      <xdr:col>15</xdr:col>
      <xdr:colOff>424733</xdr:colOff>
      <xdr:row>9</xdr:row>
      <xdr:rowOff>38618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15AA5405-B606-6E49-9912-A1084BF80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33887" y="63500"/>
          <a:ext cx="2140060" cy="2025261"/>
        </a:xfrm>
        <a:prstGeom prst="rect">
          <a:avLst/>
        </a:prstGeom>
      </xdr:spPr>
    </xdr:pic>
    <xdr:clientData/>
  </xdr:twoCellAnchor>
  <xdr:twoCellAnchor>
    <xdr:from>
      <xdr:col>17</xdr:col>
      <xdr:colOff>324098</xdr:colOff>
      <xdr:row>7</xdr:row>
      <xdr:rowOff>108856</xdr:rowOff>
    </xdr:from>
    <xdr:to>
      <xdr:col>17</xdr:col>
      <xdr:colOff>587170</xdr:colOff>
      <xdr:row>8</xdr:row>
      <xdr:rowOff>141018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B216B4A6-9888-4A12-87A1-B8E829E02F1D}"/>
            </a:ext>
          </a:extLst>
        </xdr:cNvPr>
        <xdr:cNvSpPr/>
      </xdr:nvSpPr>
      <xdr:spPr>
        <a:xfrm>
          <a:off x="12597741" y="1696356"/>
          <a:ext cx="263072" cy="25894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471714</xdr:colOff>
      <xdr:row>4</xdr:row>
      <xdr:rowOff>163285</xdr:rowOff>
    </xdr:from>
    <xdr:to>
      <xdr:col>16</xdr:col>
      <xdr:colOff>172356</xdr:colOff>
      <xdr:row>6</xdr:row>
      <xdr:rowOff>63500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F25FE250-D690-46E2-83CA-E7006CF53EDE}"/>
            </a:ext>
          </a:extLst>
        </xdr:cNvPr>
        <xdr:cNvSpPr/>
      </xdr:nvSpPr>
      <xdr:spPr>
        <a:xfrm>
          <a:off x="11420928" y="1070428"/>
          <a:ext cx="362857" cy="353786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11</xdr:col>
      <xdr:colOff>573954</xdr:colOff>
      <xdr:row>4</xdr:row>
      <xdr:rowOff>198826</xdr:rowOff>
    </xdr:from>
    <xdr:to>
      <xdr:col>12</xdr:col>
      <xdr:colOff>99572</xdr:colOff>
      <xdr:row>6</xdr:row>
      <xdr:rowOff>8326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442ACC96-051B-4010-87F6-4B6098287E85}"/>
            </a:ext>
          </a:extLst>
        </xdr:cNvPr>
        <xdr:cNvSpPr/>
      </xdr:nvSpPr>
      <xdr:spPr>
        <a:xfrm>
          <a:off x="8656597" y="1105969"/>
          <a:ext cx="260404" cy="26307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 editAs="oneCell">
    <xdr:from>
      <xdr:col>19</xdr:col>
      <xdr:colOff>263073</xdr:colOff>
      <xdr:row>0</xdr:row>
      <xdr:rowOff>90715</xdr:rowOff>
    </xdr:from>
    <xdr:to>
      <xdr:col>22</xdr:col>
      <xdr:colOff>216400</xdr:colOff>
      <xdr:row>8</xdr:row>
      <xdr:rowOff>127000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4143F436-C0F1-C92C-A29F-1BAB0B869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61144" y="90715"/>
          <a:ext cx="1939970" cy="1850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722313</xdr:colOff>
      <xdr:row>0</xdr:row>
      <xdr:rowOff>174608</xdr:rowOff>
    </xdr:from>
    <xdr:to>
      <xdr:col>5</xdr:col>
      <xdr:colOff>341813</xdr:colOff>
      <xdr:row>3</xdr:row>
      <xdr:rowOff>103188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52EB95B-1FF1-4A2C-B4AA-417E32073FEE}"/>
            </a:ext>
          </a:extLst>
        </xdr:cNvPr>
        <xdr:cNvSpPr/>
      </xdr:nvSpPr>
      <xdr:spPr>
        <a:xfrm>
          <a:off x="3675063" y="174608"/>
          <a:ext cx="1080000" cy="45245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ja-JP" altLang="en-US" sz="12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ｍ月</a:t>
          </a:r>
          <a:r>
            <a:rPr lang="en-US" altLang="ja-JP" sz="12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flash</a:t>
          </a:r>
          <a:endParaRPr kumimoji="1" lang="ja-JP" altLang="en-US" sz="1200" b="1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5</xdr:col>
      <xdr:colOff>619125</xdr:colOff>
      <xdr:row>0</xdr:row>
      <xdr:rowOff>158751</xdr:rowOff>
    </xdr:from>
    <xdr:to>
      <xdr:col>8</xdr:col>
      <xdr:colOff>126999</xdr:colOff>
      <xdr:row>5</xdr:row>
      <xdr:rowOff>142876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8B9EE13-9DAD-48AC-90F9-553F97AEFDE9}"/>
            </a:ext>
          </a:extLst>
        </xdr:cNvPr>
        <xdr:cNvSpPr/>
      </xdr:nvSpPr>
      <xdr:spPr>
        <a:xfrm>
          <a:off x="5032375" y="158751"/>
          <a:ext cx="1698624" cy="8572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PPT</a:t>
          </a:r>
          <a:r>
            <a:rPr lang="ja-JP" altLang="en-US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貼りつけ後フォント</a:t>
          </a:r>
          <a:b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</a:br>
          <a: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Meiryo UI</a:t>
          </a:r>
          <a:b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</a:br>
          <a:r>
            <a:rPr lang="en-US" altLang="ja-JP" sz="11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10.5</a:t>
          </a:r>
          <a:endParaRPr kumimoji="1" lang="ja-JP" altLang="en-US" sz="1100" b="1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5</xdr:row>
      <xdr:rowOff>6350</xdr:rowOff>
    </xdr:from>
    <xdr:to>
      <xdr:col>4</xdr:col>
      <xdr:colOff>647700</xdr:colOff>
      <xdr:row>10</xdr:row>
      <xdr:rowOff>0</xdr:rowOff>
    </xdr:to>
    <xdr:sp macro="[0]!Sheet9.RunPowerPointMacro" textlink="">
      <xdr:nvSpPr>
        <xdr:cNvPr id="2" name="正方形/長方形 1">
          <a:extLst>
            <a:ext uri="{FF2B5EF4-FFF2-40B4-BE49-F238E27FC236}">
              <a16:creationId xmlns:a16="http://schemas.microsoft.com/office/drawing/2014/main" id="{BBEE631A-4F6D-F044-273A-4A4320305735}"/>
            </a:ext>
          </a:extLst>
        </xdr:cNvPr>
        <xdr:cNvSpPr/>
      </xdr:nvSpPr>
      <xdr:spPr>
        <a:xfrm>
          <a:off x="1320800" y="1149350"/>
          <a:ext cx="1955800" cy="1136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b="1" kern="1200"/>
            <a:t>FMT</a:t>
          </a:r>
          <a:r>
            <a:rPr kumimoji="1" lang="ja-JP" altLang="en-US" sz="1800" b="1" kern="1200"/>
            <a:t>調整マクロ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638175</xdr:colOff>
      <xdr:row>16</xdr:row>
      <xdr:rowOff>219075</xdr:rowOff>
    </xdr:to>
    <xdr:sp macro="[0]!Sheet9.RunPowerPointMacro2" textlink="">
      <xdr:nvSpPr>
        <xdr:cNvPr id="3" name="正方形/長方形 2">
          <a:extLst>
            <a:ext uri="{FF2B5EF4-FFF2-40B4-BE49-F238E27FC236}">
              <a16:creationId xmlns:a16="http://schemas.microsoft.com/office/drawing/2014/main" id="{AF8643E9-482F-42BD-A986-723A6FE11E3B}"/>
            </a:ext>
          </a:extLst>
        </xdr:cNvPr>
        <xdr:cNvSpPr/>
      </xdr:nvSpPr>
      <xdr:spPr>
        <a:xfrm>
          <a:off x="1314450" y="2743200"/>
          <a:ext cx="1952625" cy="11334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 kern="1200"/>
            <a:t>先月表削除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122516</xdr:colOff>
      <xdr:row>9</xdr:row>
      <xdr:rowOff>31003</xdr:rowOff>
    </xdr:from>
    <xdr:to>
      <xdr:col>3</xdr:col>
      <xdr:colOff>3417793</xdr:colOff>
      <xdr:row>10</xdr:row>
      <xdr:rowOff>200586</xdr:rowOff>
    </xdr:to>
    <xdr:sp macro="" textlink="">
      <xdr:nvSpPr>
        <xdr:cNvPr id="20" name="矢印: 下 19">
          <a:extLst>
            <a:ext uri="{FF2B5EF4-FFF2-40B4-BE49-F238E27FC236}">
              <a16:creationId xmlns:a16="http://schemas.microsoft.com/office/drawing/2014/main" id="{78D89DFE-1ED1-4F60-8B09-6AF23CB552FB}"/>
            </a:ext>
          </a:extLst>
        </xdr:cNvPr>
        <xdr:cNvSpPr/>
      </xdr:nvSpPr>
      <xdr:spPr>
        <a:xfrm rot="16200000">
          <a:off x="8649820" y="-3005418"/>
          <a:ext cx="393700" cy="10500659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4</xdr:col>
      <xdr:colOff>189192</xdr:colOff>
      <xdr:row>8</xdr:row>
      <xdr:rowOff>63127</xdr:rowOff>
    </xdr:from>
    <xdr:to>
      <xdr:col>4</xdr:col>
      <xdr:colOff>3393141</xdr:colOff>
      <xdr:row>11</xdr:row>
      <xdr:rowOff>136152</xdr:rowOff>
    </xdr:to>
    <xdr:sp macro="" textlink="">
      <xdr:nvSpPr>
        <xdr:cNvPr id="4" name="ひし形 3">
          <a:extLst>
            <a:ext uri="{FF2B5EF4-FFF2-40B4-BE49-F238E27FC236}">
              <a16:creationId xmlns:a16="http://schemas.microsoft.com/office/drawing/2014/main" id="{1939D15C-E8C7-D7ED-D575-9B58BBB63C60}"/>
            </a:ext>
          </a:extLst>
        </xdr:cNvPr>
        <xdr:cNvSpPr/>
      </xdr:nvSpPr>
      <xdr:spPr>
        <a:xfrm>
          <a:off x="14342221" y="1856068"/>
          <a:ext cx="3203949" cy="745378"/>
        </a:xfrm>
        <a:prstGeom prst="diamon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120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ピア・</a:t>
          </a:r>
          <a:r>
            <a:rPr kumimoji="1" lang="en-US" altLang="ja-JP" sz="1200" b="0" i="0" u="none" strike="noStrike" kern="120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SV</a:t>
          </a:r>
          <a:r>
            <a:rPr kumimoji="1" lang="ja-JP" altLang="en-US" sz="1200" b="0" i="0" u="none" strike="noStrike" kern="120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レビュー</a:t>
          </a:r>
        </a:p>
      </xdr:txBody>
    </xdr:sp>
    <xdr:clientData/>
  </xdr:twoCellAnchor>
  <xdr:twoCellAnchor>
    <xdr:from>
      <xdr:col>0</xdr:col>
      <xdr:colOff>228600</xdr:colOff>
      <xdr:row>2</xdr:row>
      <xdr:rowOff>114300</xdr:rowOff>
    </xdr:from>
    <xdr:to>
      <xdr:col>0</xdr:col>
      <xdr:colOff>3190875</xdr:colOff>
      <xdr:row>5</xdr:row>
      <xdr:rowOff>139700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BABD7BF3-1595-4DB4-B6B4-E52EE1FBB062}"/>
            </a:ext>
          </a:extLst>
        </xdr:cNvPr>
        <xdr:cNvSpPr/>
      </xdr:nvSpPr>
      <xdr:spPr>
        <a:xfrm>
          <a:off x="228600" y="571500"/>
          <a:ext cx="2962275" cy="711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kern="1200"/>
            <a:t>Summry</a:t>
          </a:r>
          <a:r>
            <a:rPr kumimoji="1" lang="ja-JP" altLang="en-US" sz="1800" kern="1200"/>
            <a:t>シート作成</a:t>
          </a:r>
        </a:p>
      </xdr:txBody>
    </xdr:sp>
    <xdr:clientData/>
  </xdr:twoCellAnchor>
  <xdr:twoCellAnchor>
    <xdr:from>
      <xdr:col>0</xdr:col>
      <xdr:colOff>1444625</xdr:colOff>
      <xdr:row>6</xdr:row>
      <xdr:rowOff>63500</xdr:rowOff>
    </xdr:from>
    <xdr:to>
      <xdr:col>0</xdr:col>
      <xdr:colOff>1835150</xdr:colOff>
      <xdr:row>7</xdr:row>
      <xdr:rowOff>120650</xdr:rowOff>
    </xdr:to>
    <xdr:sp macro="" textlink="">
      <xdr:nvSpPr>
        <xdr:cNvPr id="13" name="矢印: 下 12">
          <a:extLst>
            <a:ext uri="{FF2B5EF4-FFF2-40B4-BE49-F238E27FC236}">
              <a16:creationId xmlns:a16="http://schemas.microsoft.com/office/drawing/2014/main" id="{94DBA3D4-AE75-7FAD-1906-6222CA4BDA60}"/>
            </a:ext>
          </a:extLst>
        </xdr:cNvPr>
        <xdr:cNvSpPr/>
      </xdr:nvSpPr>
      <xdr:spPr>
        <a:xfrm>
          <a:off x="1444625" y="1435100"/>
          <a:ext cx="390525" cy="28575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225425</xdr:colOff>
      <xdr:row>8</xdr:row>
      <xdr:rowOff>57150</xdr:rowOff>
    </xdr:from>
    <xdr:to>
      <xdr:col>0</xdr:col>
      <xdr:colOff>3190875</xdr:colOff>
      <xdr:row>11</xdr:row>
      <xdr:rowOff>85725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D86EAB81-C920-4ED4-A4CE-95AACA5A513C}"/>
            </a:ext>
          </a:extLst>
        </xdr:cNvPr>
        <xdr:cNvSpPr/>
      </xdr:nvSpPr>
      <xdr:spPr>
        <a:xfrm>
          <a:off x="225425" y="1885950"/>
          <a:ext cx="2965450" cy="714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kern="1200"/>
            <a:t>イメージシート作成</a:t>
          </a:r>
        </a:p>
      </xdr:txBody>
    </xdr:sp>
    <xdr:clientData/>
  </xdr:twoCellAnchor>
  <xdr:twoCellAnchor>
    <xdr:from>
      <xdr:col>2</xdr:col>
      <xdr:colOff>265394</xdr:colOff>
      <xdr:row>13</xdr:row>
      <xdr:rowOff>10084</xdr:rowOff>
    </xdr:from>
    <xdr:to>
      <xdr:col>2</xdr:col>
      <xdr:colOff>3218144</xdr:colOff>
      <xdr:row>16</xdr:row>
      <xdr:rowOff>35484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34F7D1D-162D-49B6-9990-248540A86745}"/>
            </a:ext>
          </a:extLst>
        </xdr:cNvPr>
        <xdr:cNvSpPr/>
      </xdr:nvSpPr>
      <xdr:spPr>
        <a:xfrm>
          <a:off x="7470776" y="2923613"/>
          <a:ext cx="2952750" cy="69775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 kern="1200"/>
            <a:t>C</a:t>
          </a:r>
          <a:r>
            <a:rPr kumimoji="1" lang="ja-JP" altLang="en-US" sz="1800" kern="1200"/>
            <a:t>で表の作成</a:t>
          </a:r>
        </a:p>
      </xdr:txBody>
    </xdr:sp>
    <xdr:clientData/>
  </xdr:twoCellAnchor>
  <xdr:twoCellAnchor>
    <xdr:from>
      <xdr:col>3</xdr:col>
      <xdr:colOff>30443</xdr:colOff>
      <xdr:row>12</xdr:row>
      <xdr:rowOff>67234</xdr:rowOff>
    </xdr:from>
    <xdr:to>
      <xdr:col>4</xdr:col>
      <xdr:colOff>1879413</xdr:colOff>
      <xdr:row>15</xdr:row>
      <xdr:rowOff>59203</xdr:rowOff>
    </xdr:to>
    <xdr:sp macro="" textlink="">
      <xdr:nvSpPr>
        <xdr:cNvPr id="19" name="矢印: 折線 18">
          <a:extLst>
            <a:ext uri="{FF2B5EF4-FFF2-40B4-BE49-F238E27FC236}">
              <a16:creationId xmlns:a16="http://schemas.microsoft.com/office/drawing/2014/main" id="{4DB023B3-8B92-E79D-63E2-70F979F37572}"/>
            </a:ext>
          </a:extLst>
        </xdr:cNvPr>
        <xdr:cNvSpPr/>
      </xdr:nvSpPr>
      <xdr:spPr>
        <a:xfrm rot="10800000">
          <a:off x="10709649" y="2756646"/>
          <a:ext cx="5322793" cy="664322"/>
        </a:xfrm>
        <a:prstGeom prst="ben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endParaRPr kumimoji="1" lang="ja-JP" altLang="en-US" sz="11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176120</xdr:colOff>
      <xdr:row>14</xdr:row>
      <xdr:rowOff>147357</xdr:rowOff>
    </xdr:from>
    <xdr:to>
      <xdr:col>4</xdr:col>
      <xdr:colOff>3138768</xdr:colOff>
      <xdr:row>16</xdr:row>
      <xdr:rowOff>204881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6F563217-EE64-4B9E-8C21-27E1D70F0087}"/>
            </a:ext>
          </a:extLst>
        </xdr:cNvPr>
        <xdr:cNvSpPr/>
      </xdr:nvSpPr>
      <xdr:spPr>
        <a:xfrm>
          <a:off x="14329149" y="3285004"/>
          <a:ext cx="2962648" cy="5057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kern="1200">
              <a:solidFill>
                <a:srgbClr val="FF0000"/>
              </a:solidFill>
            </a:rPr>
            <a:t>指摘事項なし</a:t>
          </a:r>
        </a:p>
      </xdr:txBody>
    </xdr:sp>
    <xdr:clientData/>
  </xdr:twoCellAnchor>
  <xdr:twoCellAnchor>
    <xdr:from>
      <xdr:col>2</xdr:col>
      <xdr:colOff>1545478</xdr:colOff>
      <xdr:row>16</xdr:row>
      <xdr:rowOff>199278</xdr:rowOff>
    </xdr:from>
    <xdr:to>
      <xdr:col>2</xdr:col>
      <xdr:colOff>1936003</xdr:colOff>
      <xdr:row>18</xdr:row>
      <xdr:rowOff>32310</xdr:rowOff>
    </xdr:to>
    <xdr:sp macro="" textlink="">
      <xdr:nvSpPr>
        <xdr:cNvPr id="23" name="矢印: 下 22">
          <a:extLst>
            <a:ext uri="{FF2B5EF4-FFF2-40B4-BE49-F238E27FC236}">
              <a16:creationId xmlns:a16="http://schemas.microsoft.com/office/drawing/2014/main" id="{4250A0C6-3F6C-4B23-A957-1B6E53C97107}"/>
            </a:ext>
          </a:extLst>
        </xdr:cNvPr>
        <xdr:cNvSpPr/>
      </xdr:nvSpPr>
      <xdr:spPr>
        <a:xfrm>
          <a:off x="8750860" y="3785160"/>
          <a:ext cx="390525" cy="28126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257736</xdr:colOff>
      <xdr:row>18</xdr:row>
      <xdr:rowOff>201705</xdr:rowOff>
    </xdr:from>
    <xdr:to>
      <xdr:col>2</xdr:col>
      <xdr:colOff>3210486</xdr:colOff>
      <xdr:row>22</xdr:row>
      <xdr:rowOff>2988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EE6EDE0D-D246-40A2-BBFA-0893FDE16E0F}"/>
            </a:ext>
          </a:extLst>
        </xdr:cNvPr>
        <xdr:cNvSpPr/>
      </xdr:nvSpPr>
      <xdr:spPr>
        <a:xfrm>
          <a:off x="7463118" y="4235823"/>
          <a:ext cx="2952750" cy="69775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kern="1200"/>
            <a:t>C</a:t>
          </a:r>
          <a:r>
            <a:rPr kumimoji="1" lang="ja-JP" altLang="en-US" sz="1400" kern="1200"/>
            <a:t>でピアレビュー者と突合</a:t>
          </a:r>
        </a:p>
      </xdr:txBody>
    </xdr:sp>
    <xdr:clientData/>
  </xdr:twoCellAnchor>
  <xdr:twoCellAnchor>
    <xdr:from>
      <xdr:col>1</xdr:col>
      <xdr:colOff>358588</xdr:colOff>
      <xdr:row>26</xdr:row>
      <xdr:rowOff>126440</xdr:rowOff>
    </xdr:from>
    <xdr:to>
      <xdr:col>2</xdr:col>
      <xdr:colOff>3244103</xdr:colOff>
      <xdr:row>29</xdr:row>
      <xdr:rowOff>145490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2E6D2659-F068-42CE-B768-7A0D28ACBFF8}"/>
            </a:ext>
          </a:extLst>
        </xdr:cNvPr>
        <xdr:cNvSpPr/>
      </xdr:nvSpPr>
      <xdr:spPr>
        <a:xfrm>
          <a:off x="3832412" y="5953499"/>
          <a:ext cx="6617073" cy="6914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kern="1200"/>
            <a:t>C</a:t>
          </a:r>
          <a:r>
            <a:rPr kumimoji="1" lang="ja-JP" altLang="en-US" sz="1400" kern="1200"/>
            <a:t>から</a:t>
          </a:r>
          <a:r>
            <a:rPr kumimoji="1" lang="en-US" altLang="ja-JP" sz="1400" kern="1200"/>
            <a:t>B</a:t>
          </a:r>
          <a:r>
            <a:rPr kumimoji="1" lang="ja-JP" altLang="en-US" sz="1400" kern="1200"/>
            <a:t>へ表をすべてコピペ</a:t>
          </a:r>
        </a:p>
      </xdr:txBody>
    </xdr:sp>
    <xdr:clientData/>
  </xdr:twoCellAnchor>
  <xdr:twoCellAnchor>
    <xdr:from>
      <xdr:col>2</xdr:col>
      <xdr:colOff>1515969</xdr:colOff>
      <xdr:row>22</xdr:row>
      <xdr:rowOff>142501</xdr:rowOff>
    </xdr:from>
    <xdr:to>
      <xdr:col>2</xdr:col>
      <xdr:colOff>1903319</xdr:colOff>
      <xdr:row>23</xdr:row>
      <xdr:rowOff>196476</xdr:rowOff>
    </xdr:to>
    <xdr:sp macro="" textlink="">
      <xdr:nvSpPr>
        <xdr:cNvPr id="26" name="矢印: 下 25">
          <a:extLst>
            <a:ext uri="{FF2B5EF4-FFF2-40B4-BE49-F238E27FC236}">
              <a16:creationId xmlns:a16="http://schemas.microsoft.com/office/drawing/2014/main" id="{A37A51A0-5DA3-40C8-8DCC-0E7D825E0A2E}"/>
            </a:ext>
          </a:extLst>
        </xdr:cNvPr>
        <xdr:cNvSpPr/>
      </xdr:nvSpPr>
      <xdr:spPr>
        <a:xfrm>
          <a:off x="8721351" y="5073089"/>
          <a:ext cx="387350" cy="278093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1355912</xdr:colOff>
      <xdr:row>22</xdr:row>
      <xdr:rowOff>11206</xdr:rowOff>
    </xdr:from>
    <xdr:to>
      <xdr:col>3</xdr:col>
      <xdr:colOff>841561</xdr:colOff>
      <xdr:row>24</xdr:row>
      <xdr:rowOff>68729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2D41BDDB-B7D9-4ABB-9AAD-FF5192DB3785}"/>
            </a:ext>
          </a:extLst>
        </xdr:cNvPr>
        <xdr:cNvSpPr/>
      </xdr:nvSpPr>
      <xdr:spPr>
        <a:xfrm>
          <a:off x="8561294" y="4941794"/>
          <a:ext cx="2959473" cy="50575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kern="1200">
              <a:solidFill>
                <a:srgbClr val="FF0000"/>
              </a:solidFill>
            </a:rPr>
            <a:t>指摘事項なし</a:t>
          </a:r>
        </a:p>
      </xdr:txBody>
    </xdr:sp>
    <xdr:clientData/>
  </xdr:twoCellAnchor>
  <xdr:twoCellAnchor>
    <xdr:from>
      <xdr:col>1</xdr:col>
      <xdr:colOff>3518646</xdr:colOff>
      <xdr:row>30</xdr:row>
      <xdr:rowOff>123265</xdr:rowOff>
    </xdr:from>
    <xdr:to>
      <xdr:col>2</xdr:col>
      <xdr:colOff>174438</xdr:colOff>
      <xdr:row>31</xdr:row>
      <xdr:rowOff>177240</xdr:rowOff>
    </xdr:to>
    <xdr:sp macro="" textlink="">
      <xdr:nvSpPr>
        <xdr:cNvPr id="28" name="矢印: 下 27">
          <a:extLst>
            <a:ext uri="{FF2B5EF4-FFF2-40B4-BE49-F238E27FC236}">
              <a16:creationId xmlns:a16="http://schemas.microsoft.com/office/drawing/2014/main" id="{B1AB6E1B-7A4F-48F0-87A2-B6774F368133}"/>
            </a:ext>
          </a:extLst>
        </xdr:cNvPr>
        <xdr:cNvSpPr/>
      </xdr:nvSpPr>
      <xdr:spPr>
        <a:xfrm>
          <a:off x="6992470" y="6846794"/>
          <a:ext cx="387350" cy="278093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336177</xdr:colOff>
      <xdr:row>32</xdr:row>
      <xdr:rowOff>161738</xdr:rowOff>
    </xdr:from>
    <xdr:to>
      <xdr:col>2</xdr:col>
      <xdr:colOff>3238501</xdr:colOff>
      <xdr:row>35</xdr:row>
      <xdr:rowOff>180788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8E1AEB00-EBD9-4ACF-9244-43120FF11DB8}"/>
            </a:ext>
          </a:extLst>
        </xdr:cNvPr>
        <xdr:cNvSpPr/>
      </xdr:nvSpPr>
      <xdr:spPr>
        <a:xfrm>
          <a:off x="3810001" y="7333503"/>
          <a:ext cx="6633882" cy="6914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kern="1200"/>
            <a:t>先月の表を選択後、</a:t>
          </a:r>
          <a:r>
            <a:rPr kumimoji="1" lang="en-US" altLang="ja-JP" sz="1400" kern="1200"/>
            <a:t>Ctrl</a:t>
          </a:r>
          <a:r>
            <a:rPr kumimoji="1" lang="ja-JP" altLang="en-US" sz="1400" kern="1200"/>
            <a:t>を押したまま先ほどコピペした表を選択し、２つの表が選択されている状態でマクロ実行</a:t>
          </a:r>
          <a:endParaRPr kumimoji="1" lang="en-US" altLang="ja-JP" sz="1400" kern="1200"/>
        </a:p>
      </xdr:txBody>
    </xdr:sp>
    <xdr:clientData/>
  </xdr:twoCellAnchor>
  <xdr:twoCellAnchor>
    <xdr:from>
      <xdr:col>3</xdr:col>
      <xdr:colOff>355412</xdr:colOff>
      <xdr:row>32</xdr:row>
      <xdr:rowOff>198531</xdr:rowOff>
    </xdr:from>
    <xdr:to>
      <xdr:col>3</xdr:col>
      <xdr:colOff>3186392</xdr:colOff>
      <xdr:row>35</xdr:row>
      <xdr:rowOff>217581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3402415E-4D5F-4007-A89E-985BC604C22D}"/>
            </a:ext>
          </a:extLst>
        </xdr:cNvPr>
        <xdr:cNvSpPr/>
      </xdr:nvSpPr>
      <xdr:spPr>
        <a:xfrm>
          <a:off x="11034618" y="7370296"/>
          <a:ext cx="2830980" cy="6914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kern="1200"/>
            <a:t>マクロを実行する際</a:t>
          </a:r>
          <a:r>
            <a:rPr kumimoji="1" lang="en-US" altLang="ja-JP" sz="1400" kern="1200"/>
            <a:t>D</a:t>
          </a:r>
          <a:r>
            <a:rPr kumimoji="1" lang="ja-JP" altLang="en-US" sz="1400" kern="1200"/>
            <a:t>のファイルを開いておく必要がある</a:t>
          </a:r>
        </a:p>
      </xdr:txBody>
    </xdr:sp>
    <xdr:clientData/>
  </xdr:twoCellAnchor>
  <xdr:twoCellAnchor>
    <xdr:from>
      <xdr:col>1</xdr:col>
      <xdr:colOff>384174</xdr:colOff>
      <xdr:row>44</xdr:row>
      <xdr:rowOff>44824</xdr:rowOff>
    </xdr:from>
    <xdr:to>
      <xdr:col>1</xdr:col>
      <xdr:colOff>3208804</xdr:colOff>
      <xdr:row>47</xdr:row>
      <xdr:rowOff>63874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579384A9-0C3E-4393-AC56-E0F6E61C063F}"/>
            </a:ext>
          </a:extLst>
        </xdr:cNvPr>
        <xdr:cNvSpPr/>
      </xdr:nvSpPr>
      <xdr:spPr>
        <a:xfrm>
          <a:off x="3857998" y="9906000"/>
          <a:ext cx="2824630" cy="6914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kern="1200"/>
            <a:t>ロゴなどが重なった場合白で塗りつぶし</a:t>
          </a:r>
        </a:p>
      </xdr:txBody>
    </xdr:sp>
    <xdr:clientData/>
  </xdr:twoCellAnchor>
  <xdr:twoCellAnchor>
    <xdr:from>
      <xdr:col>1</xdr:col>
      <xdr:colOff>417792</xdr:colOff>
      <xdr:row>38</xdr:row>
      <xdr:rowOff>142502</xdr:rowOff>
    </xdr:from>
    <xdr:to>
      <xdr:col>1</xdr:col>
      <xdr:colOff>3239247</xdr:colOff>
      <xdr:row>41</xdr:row>
      <xdr:rowOff>161552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20C50D1C-D662-480E-88DC-E6EE4BA2BFE5}"/>
            </a:ext>
          </a:extLst>
        </xdr:cNvPr>
        <xdr:cNvSpPr/>
      </xdr:nvSpPr>
      <xdr:spPr>
        <a:xfrm>
          <a:off x="3891616" y="8658973"/>
          <a:ext cx="2821455" cy="6914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kern="1200"/>
            <a:t>表が収まりきらない場合はフォントを縮小</a:t>
          </a:r>
          <a:endParaRPr kumimoji="1" lang="en-US" altLang="ja-JP" sz="1400" kern="1200"/>
        </a:p>
      </xdr:txBody>
    </xdr:sp>
    <xdr:clientData/>
  </xdr:twoCellAnchor>
  <xdr:twoCellAnchor>
    <xdr:from>
      <xdr:col>1</xdr:col>
      <xdr:colOff>1613647</xdr:colOff>
      <xdr:row>36</xdr:row>
      <xdr:rowOff>190500</xdr:rowOff>
    </xdr:from>
    <xdr:to>
      <xdr:col>1</xdr:col>
      <xdr:colOff>2000997</xdr:colOff>
      <xdr:row>38</xdr:row>
      <xdr:rowOff>20357</xdr:rowOff>
    </xdr:to>
    <xdr:sp macro="" textlink="">
      <xdr:nvSpPr>
        <xdr:cNvPr id="33" name="矢印: 下 32">
          <a:extLst>
            <a:ext uri="{FF2B5EF4-FFF2-40B4-BE49-F238E27FC236}">
              <a16:creationId xmlns:a16="http://schemas.microsoft.com/office/drawing/2014/main" id="{77375AA3-0002-4F88-A379-259081FAF41B}"/>
            </a:ext>
          </a:extLst>
        </xdr:cNvPr>
        <xdr:cNvSpPr/>
      </xdr:nvSpPr>
      <xdr:spPr>
        <a:xfrm>
          <a:off x="5087471" y="8258735"/>
          <a:ext cx="387350" cy="278093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1591236</xdr:colOff>
      <xdr:row>42</xdr:row>
      <xdr:rowOff>126440</xdr:rowOff>
    </xdr:from>
    <xdr:to>
      <xdr:col>1</xdr:col>
      <xdr:colOff>1981761</xdr:colOff>
      <xdr:row>43</xdr:row>
      <xdr:rowOff>180415</xdr:rowOff>
    </xdr:to>
    <xdr:sp macro="" textlink="">
      <xdr:nvSpPr>
        <xdr:cNvPr id="34" name="矢印: 下 33">
          <a:extLst>
            <a:ext uri="{FF2B5EF4-FFF2-40B4-BE49-F238E27FC236}">
              <a16:creationId xmlns:a16="http://schemas.microsoft.com/office/drawing/2014/main" id="{8EE5866A-CF81-4065-80F6-11FD49106420}"/>
            </a:ext>
          </a:extLst>
        </xdr:cNvPr>
        <xdr:cNvSpPr/>
      </xdr:nvSpPr>
      <xdr:spPr>
        <a:xfrm>
          <a:off x="5065060" y="9539381"/>
          <a:ext cx="390525" cy="278093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1355912</xdr:colOff>
      <xdr:row>22</xdr:row>
      <xdr:rowOff>11206</xdr:rowOff>
    </xdr:from>
    <xdr:to>
      <xdr:col>3</xdr:col>
      <xdr:colOff>841561</xdr:colOff>
      <xdr:row>24</xdr:row>
      <xdr:rowOff>68729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AE6613C6-EC07-43CF-BA6A-8FAA3F7CC2F8}"/>
            </a:ext>
          </a:extLst>
        </xdr:cNvPr>
        <xdr:cNvSpPr/>
      </xdr:nvSpPr>
      <xdr:spPr>
        <a:xfrm>
          <a:off x="8561294" y="4941794"/>
          <a:ext cx="2959473" cy="5057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kern="1200">
              <a:solidFill>
                <a:srgbClr val="FF0000"/>
              </a:solidFill>
            </a:rPr>
            <a:t>指摘事項なし</a:t>
          </a:r>
        </a:p>
      </xdr:txBody>
    </xdr:sp>
    <xdr:clientData/>
  </xdr:twoCellAnchor>
  <xdr:twoCellAnchor>
    <xdr:from>
      <xdr:col>0</xdr:col>
      <xdr:colOff>2978727</xdr:colOff>
      <xdr:row>31</xdr:row>
      <xdr:rowOff>219262</xdr:rowOff>
    </xdr:from>
    <xdr:to>
      <xdr:col>4</xdr:col>
      <xdr:colOff>695902</xdr:colOff>
      <xdr:row>36</xdr:row>
      <xdr:rowOff>134471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E93579D0-AB19-47E9-828E-CF725698BD8B}"/>
            </a:ext>
          </a:extLst>
        </xdr:cNvPr>
        <xdr:cNvSpPr/>
      </xdr:nvSpPr>
      <xdr:spPr>
        <a:xfrm>
          <a:off x="2978727" y="7198489"/>
          <a:ext cx="11900766" cy="104089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8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168089</xdr:colOff>
      <xdr:row>50</xdr:row>
      <xdr:rowOff>56031</xdr:rowOff>
    </xdr:from>
    <xdr:to>
      <xdr:col>1</xdr:col>
      <xdr:colOff>3375213</xdr:colOff>
      <xdr:row>53</xdr:row>
      <xdr:rowOff>122706</xdr:rowOff>
    </xdr:to>
    <xdr:sp macro="" textlink="">
      <xdr:nvSpPr>
        <xdr:cNvPr id="37" name="ひし形 36">
          <a:extLst>
            <a:ext uri="{FF2B5EF4-FFF2-40B4-BE49-F238E27FC236}">
              <a16:creationId xmlns:a16="http://schemas.microsoft.com/office/drawing/2014/main" id="{9FC7B951-7B67-4BC3-A551-DFF8C4321E8A}"/>
            </a:ext>
          </a:extLst>
        </xdr:cNvPr>
        <xdr:cNvSpPr/>
      </xdr:nvSpPr>
      <xdr:spPr>
        <a:xfrm>
          <a:off x="3641913" y="11261913"/>
          <a:ext cx="3207124" cy="739028"/>
        </a:xfrm>
        <a:prstGeom prst="diamon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120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ピア・</a:t>
          </a:r>
          <a:r>
            <a:rPr kumimoji="1" lang="en-US" altLang="ja-JP" sz="1200" b="0" i="0" u="none" strike="noStrike" kern="120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SV</a:t>
          </a:r>
          <a:r>
            <a:rPr kumimoji="1" lang="ja-JP" altLang="en-US" sz="1200" b="0" i="0" u="none" strike="noStrike" kern="120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レビュー</a:t>
          </a:r>
        </a:p>
      </xdr:txBody>
    </xdr:sp>
    <xdr:clientData/>
  </xdr:twoCellAnchor>
  <xdr:twoCellAnchor>
    <xdr:from>
      <xdr:col>1</xdr:col>
      <xdr:colOff>1568824</xdr:colOff>
      <xdr:row>48</xdr:row>
      <xdr:rowOff>11206</xdr:rowOff>
    </xdr:from>
    <xdr:to>
      <xdr:col>1</xdr:col>
      <xdr:colOff>1959349</xdr:colOff>
      <xdr:row>49</xdr:row>
      <xdr:rowOff>74706</xdr:rowOff>
    </xdr:to>
    <xdr:sp macro="" textlink="">
      <xdr:nvSpPr>
        <xdr:cNvPr id="38" name="矢印: 下 37">
          <a:extLst>
            <a:ext uri="{FF2B5EF4-FFF2-40B4-BE49-F238E27FC236}">
              <a16:creationId xmlns:a16="http://schemas.microsoft.com/office/drawing/2014/main" id="{C28AA0C7-9E55-42C0-9DE3-0E7A3D393E4C}"/>
            </a:ext>
          </a:extLst>
        </xdr:cNvPr>
        <xdr:cNvSpPr/>
      </xdr:nvSpPr>
      <xdr:spPr>
        <a:xfrm>
          <a:off x="5042648" y="10768853"/>
          <a:ext cx="390525" cy="287618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126441</xdr:colOff>
      <xdr:row>38</xdr:row>
      <xdr:rowOff>0</xdr:rowOff>
    </xdr:from>
    <xdr:to>
      <xdr:col>3</xdr:col>
      <xdr:colOff>3364941</xdr:colOff>
      <xdr:row>52</xdr:row>
      <xdr:rowOff>134470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6F37A57C-2424-40F9-83AC-3633336A65CA}"/>
            </a:ext>
          </a:extLst>
        </xdr:cNvPr>
        <xdr:cNvSpPr/>
      </xdr:nvSpPr>
      <xdr:spPr>
        <a:xfrm>
          <a:off x="7331823" y="8516471"/>
          <a:ext cx="6712324" cy="327211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フォーマット調整用マクロ</a:t>
          </a:r>
          <a:r>
            <a:rPr kumimoji="1" lang="en-US" altLang="ja-JP" sz="1800" kern="1200">
              <a:solidFill>
                <a:srgbClr val="FF0000"/>
              </a:solidFill>
              <a:latin typeface="+mn-ea"/>
              <a:ea typeface="+mn-ea"/>
            </a:rPr>
            <a:t>pptm</a:t>
          </a:r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を開いたまま、</a:t>
          </a:r>
          <a:endParaRPr kumimoji="1" lang="en-US" altLang="ja-JP" sz="1800" kern="1200">
            <a:solidFill>
              <a:srgbClr val="FF0000"/>
            </a:solidFill>
            <a:latin typeface="+mn-ea"/>
            <a:ea typeface="+mn-ea"/>
          </a:endParaRPr>
        </a:p>
        <a:p>
          <a:pPr algn="ctr"/>
          <a:r>
            <a:rPr kumimoji="1" lang="en-US" altLang="ja-JP" sz="1800" kern="1200">
              <a:solidFill>
                <a:srgbClr val="FF0000"/>
              </a:solidFill>
              <a:latin typeface="+mn-ea"/>
              <a:ea typeface="+mn-ea"/>
            </a:rPr>
            <a:t>【</a:t>
          </a:r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修正中</a:t>
          </a:r>
          <a:r>
            <a:rPr kumimoji="1" lang="en-US" altLang="ja-JP" sz="1800" kern="1200">
              <a:solidFill>
                <a:srgbClr val="FF0000"/>
              </a:solidFill>
              <a:latin typeface="+mn-ea"/>
              <a:ea typeface="+mn-ea"/>
            </a:rPr>
            <a:t>】</a:t>
          </a:r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参考</a:t>
          </a:r>
          <a:r>
            <a:rPr kumimoji="1" lang="en-US" altLang="ja-JP" sz="1800" kern="1200">
              <a:solidFill>
                <a:srgbClr val="FF0000"/>
              </a:solidFill>
              <a:latin typeface="+mn-ea"/>
              <a:ea typeface="+mn-ea"/>
            </a:rPr>
            <a:t>【Flash】PPT</a:t>
          </a:r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資料</a:t>
          </a:r>
          <a:r>
            <a:rPr kumimoji="1" lang="en-US" altLang="ja-JP" sz="1800" kern="1200">
              <a:solidFill>
                <a:srgbClr val="FF0000"/>
              </a:solidFill>
              <a:latin typeface="+mn-ea"/>
              <a:ea typeface="+mn-ea"/>
            </a:rPr>
            <a:t>_yymm_v1.00</a:t>
          </a:r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で作った表を</a:t>
          </a:r>
          <a:endParaRPr kumimoji="1" lang="en-US" altLang="ja-JP" sz="1800" kern="1200">
            <a:solidFill>
              <a:srgbClr val="FF0000"/>
            </a:solidFill>
            <a:latin typeface="+mn-ea"/>
            <a:ea typeface="+mn-ea"/>
          </a:endParaRPr>
        </a:p>
        <a:p>
          <a:pPr algn="ctr"/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コピーペーストし先月の表→今月の表と選択してから</a:t>
          </a:r>
          <a:endParaRPr kumimoji="1" lang="en-US" altLang="ja-JP" sz="1800" kern="1200">
            <a:solidFill>
              <a:srgbClr val="FF0000"/>
            </a:solidFill>
            <a:latin typeface="+mn-ea"/>
            <a:ea typeface="+mn-ea"/>
          </a:endParaRPr>
        </a:p>
        <a:p>
          <a:pPr algn="ctr"/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ボタンを押下してマクロを実行すると</a:t>
          </a:r>
          <a:endParaRPr kumimoji="1" lang="en-US" altLang="ja-JP" sz="1800" kern="1200">
            <a:solidFill>
              <a:srgbClr val="FF0000"/>
            </a:solidFill>
            <a:latin typeface="+mn-ea"/>
            <a:ea typeface="+mn-ea"/>
          </a:endParaRPr>
        </a:p>
        <a:p>
          <a:pPr algn="ctr"/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表の列幅、行幅、位置、フォントサイズを揃えられます。</a:t>
          </a:r>
          <a:endParaRPr kumimoji="1" lang="en-US" altLang="ja-JP" sz="1800" kern="1200">
            <a:solidFill>
              <a:srgbClr val="FF0000"/>
            </a:solidFill>
            <a:latin typeface="+mn-ea"/>
            <a:ea typeface="+mn-ea"/>
          </a:endParaRPr>
        </a:p>
        <a:p>
          <a:pPr algn="ctr"/>
          <a:r>
            <a:rPr kumimoji="1" lang="ja-JP" altLang="en-US" sz="1800" kern="1200">
              <a:solidFill>
                <a:srgbClr val="FF0000"/>
              </a:solidFill>
              <a:latin typeface="+mn-ea"/>
              <a:ea typeface="+mn-ea"/>
            </a:rPr>
            <a:t>また、念のために前月の表の削除は一括で行わずに</a:t>
          </a:r>
          <a:endParaRPr kumimoji="1" lang="en-US" altLang="ja-JP" sz="1800" kern="1200">
            <a:solidFill>
              <a:srgbClr val="FF0000"/>
            </a:solidFill>
            <a:latin typeface="+mn-ea"/>
            <a:ea typeface="+mn-ea"/>
          </a:endParaRPr>
        </a:p>
        <a:p>
          <a:pPr algn="ctr"/>
          <a:r>
            <a:rPr kumimoji="1" lang="ja-JP" altLang="en-US" sz="1800" kern="1200">
              <a:solidFill>
                <a:srgbClr val="FF0000"/>
              </a:solidFill>
            </a:rPr>
            <a:t>もう一つボタンを用意して作成する予定です。</a:t>
          </a:r>
        </a:p>
      </xdr:txBody>
    </xdr:sp>
    <xdr:clientData/>
  </xdr:twoCellAnchor>
  <xdr:twoCellAnchor>
    <xdr:from>
      <xdr:col>0</xdr:col>
      <xdr:colOff>112060</xdr:colOff>
      <xdr:row>1</xdr:row>
      <xdr:rowOff>190501</xdr:rowOff>
    </xdr:from>
    <xdr:to>
      <xdr:col>5</xdr:col>
      <xdr:colOff>273797</xdr:colOff>
      <xdr:row>11</xdr:row>
      <xdr:rowOff>173182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69E29500-6536-4875-8748-1F18B7D09863}"/>
            </a:ext>
          </a:extLst>
        </xdr:cNvPr>
        <xdr:cNvSpPr/>
      </xdr:nvSpPr>
      <xdr:spPr>
        <a:xfrm>
          <a:off x="112060" y="415637"/>
          <a:ext cx="17826282" cy="2234045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8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2910353</xdr:colOff>
      <xdr:row>6</xdr:row>
      <xdr:rowOff>0</xdr:rowOff>
    </xdr:from>
    <xdr:to>
      <xdr:col>5</xdr:col>
      <xdr:colOff>2396002</xdr:colOff>
      <xdr:row>8</xdr:row>
      <xdr:rowOff>57524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AB9D6284-B7BD-4895-A910-80A68C00E8A5}"/>
            </a:ext>
          </a:extLst>
        </xdr:cNvPr>
        <xdr:cNvSpPr/>
      </xdr:nvSpPr>
      <xdr:spPr>
        <a:xfrm>
          <a:off x="17063382" y="1344706"/>
          <a:ext cx="2959473" cy="5057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 b="1" kern="1200">
              <a:solidFill>
                <a:sysClr val="windowText" lastClr="000000"/>
              </a:solidFill>
            </a:rPr>
            <a:t>集計作業</a:t>
          </a:r>
        </a:p>
      </xdr:txBody>
    </xdr:sp>
    <xdr:clientData/>
  </xdr:twoCellAnchor>
  <xdr:twoCellAnchor>
    <xdr:from>
      <xdr:col>0</xdr:col>
      <xdr:colOff>3182471</xdr:colOff>
      <xdr:row>12</xdr:row>
      <xdr:rowOff>133164</xdr:rowOff>
    </xdr:from>
    <xdr:to>
      <xdr:col>4</xdr:col>
      <xdr:colOff>425824</xdr:colOff>
      <xdr:row>54</xdr:row>
      <xdr:rowOff>190500</xdr:rowOff>
    </xdr:to>
    <xdr:sp macro="" textlink="">
      <xdr:nvSpPr>
        <xdr:cNvPr id="42" name="正方形/長方形 41">
          <a:extLst>
            <a:ext uri="{FF2B5EF4-FFF2-40B4-BE49-F238E27FC236}">
              <a16:creationId xmlns:a16="http://schemas.microsoft.com/office/drawing/2014/main" id="{F8090DED-430D-40EB-85CC-2C6E48DC8281}"/>
            </a:ext>
          </a:extLst>
        </xdr:cNvPr>
        <xdr:cNvSpPr/>
      </xdr:nvSpPr>
      <xdr:spPr>
        <a:xfrm>
          <a:off x="3182471" y="2822576"/>
          <a:ext cx="11396382" cy="9470277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8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389031</xdr:colOff>
      <xdr:row>28</xdr:row>
      <xdr:rowOff>8031</xdr:rowOff>
    </xdr:from>
    <xdr:to>
      <xdr:col>5</xdr:col>
      <xdr:colOff>862853</xdr:colOff>
      <xdr:row>30</xdr:row>
      <xdr:rowOff>65555</xdr:rowOff>
    </xdr:to>
    <xdr:sp macro="" textlink="">
      <xdr:nvSpPr>
        <xdr:cNvPr id="43" name="正方形/長方形 42">
          <a:extLst>
            <a:ext uri="{FF2B5EF4-FFF2-40B4-BE49-F238E27FC236}">
              <a16:creationId xmlns:a16="http://schemas.microsoft.com/office/drawing/2014/main" id="{6483D623-4B22-4507-9D72-EE613734F6FF}"/>
            </a:ext>
          </a:extLst>
        </xdr:cNvPr>
        <xdr:cNvSpPr/>
      </xdr:nvSpPr>
      <xdr:spPr>
        <a:xfrm>
          <a:off x="14542060" y="6283325"/>
          <a:ext cx="3947646" cy="5057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 b="1" kern="1200">
              <a:solidFill>
                <a:sysClr val="windowText" lastClr="000000"/>
              </a:solidFill>
            </a:rPr>
            <a:t>MDMTG</a:t>
          </a:r>
          <a:r>
            <a:rPr kumimoji="1" lang="ja-JP" altLang="en-US" sz="2800" b="1" kern="1200">
              <a:solidFill>
                <a:sysClr val="windowText" lastClr="000000"/>
              </a:solidFill>
            </a:rPr>
            <a:t>資料作成作業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annie_guiyu_tian_accenture_com/Documents/Documents/&#26085;&#26412;Onsite%20Support/Report/OT%20Flash/Raw%20Data/Final_20220101_updated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un.e.wang/Desktop/1&#26376;Final/202201(Final)_Files&amp;Mail&#12398;&#27880;&#24847;&#28857;%20v6.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01Final"/>
      <sheetName val="202201Final (2)"/>
      <sheetName val="複数アサイン対象一覧"/>
      <sheetName val="Note"/>
      <sheetName val="Value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>
            <v>44560</v>
          </cell>
        </row>
        <row r="3">
          <cell r="A3">
            <v>44561</v>
          </cell>
        </row>
        <row r="4">
          <cell r="A4">
            <v>44562</v>
          </cell>
        </row>
        <row r="5">
          <cell r="A5">
            <v>44563</v>
          </cell>
        </row>
        <row r="6">
          <cell r="A6">
            <v>44564</v>
          </cell>
        </row>
        <row r="7">
          <cell r="A7">
            <v>44571</v>
          </cell>
        </row>
        <row r="8">
          <cell r="A8">
            <v>44603</v>
          </cell>
        </row>
        <row r="9">
          <cell r="A9">
            <v>44615</v>
          </cell>
        </row>
        <row r="10">
          <cell r="A10">
            <v>44641</v>
          </cell>
        </row>
        <row r="11">
          <cell r="A11">
            <v>44680</v>
          </cell>
        </row>
        <row r="12">
          <cell r="A12">
            <v>44684</v>
          </cell>
        </row>
        <row r="13">
          <cell r="A13">
            <v>44685</v>
          </cell>
        </row>
        <row r="14">
          <cell r="A14">
            <v>44686</v>
          </cell>
        </row>
        <row r="15">
          <cell r="A15">
            <v>44760</v>
          </cell>
        </row>
        <row r="16">
          <cell r="A16">
            <v>44784</v>
          </cell>
        </row>
        <row r="17">
          <cell r="A17">
            <v>44823</v>
          </cell>
        </row>
        <row r="18">
          <cell r="A18">
            <v>44827</v>
          </cell>
        </row>
        <row r="19">
          <cell r="A19">
            <v>44844</v>
          </cell>
        </row>
        <row r="20">
          <cell r="A20">
            <v>44868</v>
          </cell>
        </row>
        <row r="21">
          <cell r="A21">
            <v>44888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"/>
      <sheetName val="Files List"/>
      <sheetName val="複数アサイン対象一覧"/>
      <sheetName val="Mail Template"/>
      <sheetName val="Input Check Point"/>
      <sheetName val="事前申請＆直近アサイン情報"/>
      <sheetName val="新アラート基準"/>
      <sheetName val="Check Point"/>
      <sheetName val="変更履歴"/>
      <sheetName val="Val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>
            <v>44400</v>
          </cell>
          <cell r="E2" t="str">
            <v>（2020年7月～2021年6月）</v>
          </cell>
        </row>
        <row r="3">
          <cell r="E3" t="str">
            <v>（2021年7月～2022年6月）</v>
          </cell>
        </row>
        <row r="4">
          <cell r="E4" t="str">
            <v>（2022年7月～2023年6月）</v>
          </cell>
        </row>
        <row r="5">
          <cell r="E5" t="str">
            <v>（2023年7月～2024年6月）</v>
          </cell>
        </row>
        <row r="6">
          <cell r="E6" t="str">
            <v>（2024年7月～2025年6月）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E886A-7B91-4305-A2B8-B40580DB54C0}">
  <sheetPr codeName="Sheet1"/>
  <dimension ref="B2:Q27"/>
  <sheetViews>
    <sheetView topLeftCell="A9" workbookViewId="0">
      <selection activeCell="B14" sqref="B14"/>
    </sheetView>
  </sheetViews>
  <sheetFormatPr defaultColWidth="8.58203125" defaultRowHeight="16.5"/>
  <cols>
    <col min="1" max="1" width="5.58203125" style="40" customWidth="1"/>
    <col min="2" max="16384" width="8.58203125" style="40"/>
  </cols>
  <sheetData>
    <row r="2" spans="2:17" ht="17" thickBot="1">
      <c r="B2" s="41" t="s">
        <v>45</v>
      </c>
      <c r="C2" s="42"/>
      <c r="D2" s="42"/>
      <c r="E2" s="42"/>
      <c r="F2" s="42"/>
      <c r="G2" s="42"/>
      <c r="H2" s="42"/>
      <c r="I2" s="42"/>
    </row>
    <row r="3" spans="2:17" ht="17" thickTop="1"/>
    <row r="4" spans="2:17">
      <c r="B4" s="39" t="s">
        <v>0</v>
      </c>
      <c r="K4" s="112" t="s">
        <v>42</v>
      </c>
      <c r="L4" s="113"/>
      <c r="M4" s="113"/>
      <c r="N4" s="113"/>
      <c r="O4" s="113"/>
      <c r="P4" s="113"/>
      <c r="Q4" s="113"/>
    </row>
    <row r="5" spans="2:17">
      <c r="B5" s="39" t="s">
        <v>48</v>
      </c>
      <c r="K5" s="135" t="s">
        <v>43</v>
      </c>
      <c r="L5" s="136"/>
      <c r="M5" s="136"/>
      <c r="N5" s="136"/>
      <c r="O5" s="136"/>
      <c r="P5" s="136"/>
      <c r="Q5" s="136"/>
    </row>
    <row r="6" spans="2:17">
      <c r="B6" s="40" t="s">
        <v>44</v>
      </c>
      <c r="K6" s="136"/>
      <c r="L6" s="136"/>
      <c r="M6" s="136"/>
      <c r="N6" s="136"/>
      <c r="O6" s="136"/>
      <c r="P6" s="136"/>
      <c r="Q6" s="136"/>
    </row>
    <row r="7" spans="2:17">
      <c r="B7" s="39" t="s">
        <v>46</v>
      </c>
      <c r="K7" s="136"/>
      <c r="L7" s="136"/>
      <c r="M7" s="136"/>
      <c r="N7" s="136"/>
      <c r="O7" s="136"/>
      <c r="P7" s="136"/>
      <c r="Q7" s="136"/>
    </row>
    <row r="8" spans="2:17">
      <c r="K8" s="136"/>
      <c r="L8" s="136"/>
      <c r="M8" s="136"/>
      <c r="N8" s="136"/>
      <c r="O8" s="136"/>
      <c r="P8" s="136"/>
      <c r="Q8" s="136"/>
    </row>
    <row r="9" spans="2:17">
      <c r="B9" s="40" t="s">
        <v>1</v>
      </c>
      <c r="K9" s="136"/>
      <c r="L9" s="136"/>
      <c r="M9" s="136"/>
      <c r="N9" s="136"/>
      <c r="O9" s="136"/>
      <c r="P9" s="136"/>
      <c r="Q9" s="136"/>
    </row>
    <row r="10" spans="2:17" ht="18">
      <c r="B10"/>
      <c r="K10" s="136"/>
      <c r="L10" s="136"/>
      <c r="M10" s="136"/>
      <c r="N10" s="136"/>
      <c r="O10" s="136"/>
      <c r="P10" s="136"/>
      <c r="Q10" s="136"/>
    </row>
    <row r="11" spans="2:17">
      <c r="B11" s="39" t="s">
        <v>2</v>
      </c>
    </row>
    <row r="12" spans="2:17">
      <c r="B12" s="40" t="s">
        <v>3</v>
      </c>
    </row>
    <row r="14" spans="2:17">
      <c r="B14" s="103" t="s">
        <v>81</v>
      </c>
    </row>
    <row r="16" spans="2:17">
      <c r="B16" s="39" t="s">
        <v>4</v>
      </c>
    </row>
    <row r="17" spans="2:2">
      <c r="B17" s="40" t="s">
        <v>5</v>
      </c>
    </row>
    <row r="19" spans="2:2">
      <c r="B19" s="40" t="s">
        <v>6</v>
      </c>
    </row>
    <row r="20" spans="2:2">
      <c r="B20" s="40" t="s">
        <v>47</v>
      </c>
    </row>
    <row r="21" spans="2:2">
      <c r="B21" s="40" t="s">
        <v>7</v>
      </c>
    </row>
    <row r="27" spans="2:2">
      <c r="B27" s="103" t="s">
        <v>8</v>
      </c>
    </row>
  </sheetData>
  <mergeCells count="1">
    <mergeCell ref="K5:Q10"/>
  </mergeCells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22D3-4824-4491-8B43-E91D94569552}">
  <sheetPr codeName="Sheet3"/>
  <dimension ref="B1:AF40"/>
  <sheetViews>
    <sheetView topLeftCell="A2" zoomScale="70" zoomScaleNormal="70" workbookViewId="0">
      <selection activeCell="B9" sqref="B9"/>
    </sheetView>
  </sheetViews>
  <sheetFormatPr defaultColWidth="8.58203125" defaultRowHeight="15"/>
  <cols>
    <col min="1" max="1" width="5.58203125" style="5" customWidth="1"/>
    <col min="2" max="2" width="21.58203125" style="5" customWidth="1"/>
    <col min="3" max="3" width="9.58203125" style="5" customWidth="1"/>
    <col min="4" max="4" width="12.58203125" style="5" customWidth="1"/>
    <col min="5" max="5" width="23.58203125" style="5" customWidth="1"/>
    <col min="6" max="8" width="28.58203125" style="5" customWidth="1"/>
    <col min="9" max="11" width="12.58203125" style="5" customWidth="1"/>
    <col min="12" max="12" width="8.58203125" style="5"/>
    <col min="13" max="30" width="8.58203125" style="5" customWidth="1"/>
    <col min="31" max="16384" width="8.58203125" style="5"/>
  </cols>
  <sheetData>
    <row r="1" spans="2:32" ht="15" customHeight="1"/>
    <row r="2" spans="2:32" ht="15" customHeight="1">
      <c r="B2" s="23" t="s">
        <v>9</v>
      </c>
      <c r="C2" s="24"/>
    </row>
    <row r="3" spans="2:32" ht="15" customHeight="1">
      <c r="B3" s="4" t="s">
        <v>26</v>
      </c>
      <c r="D3" s="24"/>
    </row>
    <row r="4" spans="2:32" ht="15" customHeight="1">
      <c r="B4" s="4"/>
      <c r="D4" s="24"/>
      <c r="M4" s="32"/>
      <c r="N4" s="32"/>
      <c r="O4" s="32"/>
      <c r="P4" s="32"/>
      <c r="Q4" s="32"/>
      <c r="R4" s="32"/>
      <c r="S4" s="32"/>
      <c r="T4" s="32"/>
    </row>
    <row r="5" spans="2:32" ht="15" customHeight="1">
      <c r="B5" s="34"/>
      <c r="D5" s="24"/>
      <c r="G5" s="32"/>
      <c r="M5" s="18" t="s">
        <v>10</v>
      </c>
      <c r="N5" s="18"/>
      <c r="O5" s="18"/>
      <c r="P5" s="18"/>
      <c r="Q5" s="18"/>
      <c r="R5" s="18"/>
      <c r="S5" s="18"/>
      <c r="T5" s="18"/>
      <c r="U5" s="17"/>
      <c r="V5" s="17"/>
      <c r="W5" s="17"/>
      <c r="X5" s="17"/>
      <c r="Y5" s="17"/>
      <c r="Z5" s="17"/>
      <c r="AA5" s="17"/>
      <c r="AB5" s="17"/>
      <c r="AC5" s="17"/>
      <c r="AD5" s="17"/>
    </row>
    <row r="6" spans="2:32" ht="15" customHeight="1">
      <c r="B6" s="34"/>
      <c r="D6" s="24"/>
      <c r="G6" s="32"/>
      <c r="M6" s="18"/>
      <c r="N6" s="18"/>
      <c r="O6" s="18"/>
      <c r="P6" s="18"/>
      <c r="Q6" s="18"/>
      <c r="R6" s="18"/>
      <c r="S6" s="18"/>
      <c r="T6" s="18"/>
      <c r="U6" s="17"/>
      <c r="V6" s="17"/>
      <c r="W6" s="17"/>
      <c r="X6" s="17"/>
      <c r="Y6" s="17"/>
      <c r="Z6" s="17"/>
      <c r="AA6" s="17"/>
      <c r="AB6" s="17"/>
      <c r="AC6" s="17"/>
      <c r="AD6" s="17"/>
    </row>
    <row r="7" spans="2:32" ht="15" customHeight="1">
      <c r="B7" s="141" t="s">
        <v>39</v>
      </c>
      <c r="C7" s="141"/>
      <c r="D7" s="141"/>
      <c r="E7" s="141"/>
      <c r="F7" s="141"/>
      <c r="G7" s="141"/>
      <c r="H7" s="141"/>
      <c r="M7" s="18"/>
      <c r="N7" s="18"/>
      <c r="O7" s="18"/>
      <c r="P7" s="18"/>
      <c r="Q7" s="18"/>
      <c r="R7" s="18"/>
      <c r="S7" s="18"/>
      <c r="T7" s="18"/>
      <c r="U7" s="17"/>
      <c r="V7" s="17"/>
      <c r="W7" s="17"/>
      <c r="X7" s="17"/>
      <c r="Y7" s="17"/>
      <c r="Z7" s="17"/>
      <c r="AA7" s="17"/>
      <c r="AB7" s="17"/>
      <c r="AC7" s="17"/>
      <c r="AD7" s="17"/>
    </row>
    <row r="8" spans="2:32" ht="15" customHeight="1" thickBot="1">
      <c r="B8" s="142" t="s">
        <v>38</v>
      </c>
      <c r="C8" s="142"/>
      <c r="D8" s="142"/>
      <c r="E8" s="142"/>
      <c r="F8" s="142"/>
      <c r="G8" s="142"/>
      <c r="H8" s="142"/>
      <c r="M8" s="18"/>
      <c r="N8" s="18"/>
      <c r="O8" s="18"/>
      <c r="P8" s="18"/>
      <c r="Q8" s="18"/>
      <c r="R8" s="18"/>
      <c r="S8" s="18"/>
      <c r="T8" s="18"/>
      <c r="U8" s="17"/>
      <c r="V8" s="17"/>
      <c r="W8" s="17"/>
      <c r="X8" s="17"/>
      <c r="Y8" s="17"/>
      <c r="Z8" s="17"/>
      <c r="AA8" s="17"/>
      <c r="AB8" s="17"/>
      <c r="AC8" s="17"/>
      <c r="AD8" s="17"/>
    </row>
    <row r="9" spans="2:32" ht="36" customHeight="1" thickBot="1">
      <c r="C9" s="38"/>
      <c r="D9" s="38"/>
      <c r="E9" s="38"/>
      <c r="F9" s="38"/>
      <c r="G9" s="38"/>
      <c r="H9" s="38"/>
      <c r="I9" s="137" t="s">
        <v>29</v>
      </c>
      <c r="J9" s="138"/>
      <c r="K9" s="33"/>
      <c r="M9" s="34" t="s">
        <v>32</v>
      </c>
      <c r="N9" s="38"/>
      <c r="O9" s="38"/>
      <c r="P9" s="38"/>
      <c r="Q9" s="38"/>
      <c r="R9" s="38"/>
      <c r="S9" s="38"/>
      <c r="T9" s="139" t="s">
        <v>29</v>
      </c>
      <c r="U9" s="140"/>
      <c r="V9" s="33"/>
    </row>
    <row r="10" spans="2:32" ht="60" customHeight="1" thickBot="1">
      <c r="B10" s="88" t="s">
        <v>12</v>
      </c>
      <c r="C10" s="88" t="s">
        <v>16</v>
      </c>
      <c r="D10" s="88" t="s">
        <v>13</v>
      </c>
      <c r="E10" s="88" t="s">
        <v>14</v>
      </c>
      <c r="F10" s="88" t="s">
        <v>17</v>
      </c>
      <c r="G10" s="88" t="s">
        <v>27</v>
      </c>
      <c r="H10" s="89" t="s">
        <v>28</v>
      </c>
      <c r="I10" s="90" t="s">
        <v>30</v>
      </c>
      <c r="J10" s="91" t="s">
        <v>31</v>
      </c>
      <c r="K10" s="92" t="s">
        <v>35</v>
      </c>
      <c r="M10" s="35" t="s">
        <v>12</v>
      </c>
      <c r="N10" s="35" t="s">
        <v>16</v>
      </c>
      <c r="O10" s="35" t="s">
        <v>13</v>
      </c>
      <c r="P10" s="35" t="s">
        <v>14</v>
      </c>
      <c r="Q10" s="35" t="s">
        <v>17</v>
      </c>
      <c r="R10" s="35" t="s">
        <v>27</v>
      </c>
      <c r="S10" s="35" t="s">
        <v>28</v>
      </c>
      <c r="T10" s="86" t="s">
        <v>30</v>
      </c>
      <c r="U10" s="87" t="s">
        <v>31</v>
      </c>
      <c r="V10" s="85" t="s">
        <v>35</v>
      </c>
      <c r="W10" s="5" t="b">
        <f>EXACT(M10,B10)</f>
        <v>1</v>
      </c>
      <c r="X10" s="5" t="b">
        <f t="shared" ref="X10:AC10" si="0">EXACT(N10,C10)</f>
        <v>1</v>
      </c>
      <c r="Y10" s="5" t="b">
        <f t="shared" si="0"/>
        <v>1</v>
      </c>
      <c r="Z10" s="5" t="b">
        <f t="shared" si="0"/>
        <v>1</v>
      </c>
      <c r="AA10" s="5" t="b">
        <f t="shared" si="0"/>
        <v>1</v>
      </c>
      <c r="AB10" s="5" t="b">
        <f t="shared" si="0"/>
        <v>1</v>
      </c>
      <c r="AC10" s="5" t="b">
        <f t="shared" si="0"/>
        <v>1</v>
      </c>
      <c r="AD10" s="5" t="b">
        <f>EXACT(T10,I10)</f>
        <v>1</v>
      </c>
      <c r="AE10" s="5" t="b">
        <f t="shared" ref="AE10" si="1">EXACT(U10,J10)</f>
        <v>1</v>
      </c>
      <c r="AF10" s="5" t="b">
        <f>EXACT(V10,K10)</f>
        <v>1</v>
      </c>
    </row>
    <row r="11" spans="2:32" ht="40" customHeight="1">
      <c r="B11" s="93"/>
      <c r="C11" s="93"/>
      <c r="D11" s="93"/>
      <c r="E11" s="93"/>
      <c r="F11" s="94"/>
      <c r="G11" s="94"/>
      <c r="H11" s="95"/>
      <c r="I11" s="96"/>
      <c r="J11" s="97"/>
      <c r="K11" s="98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5" t="b">
        <f t="shared" ref="W11:W34" si="2">EXACT(M11,B11)</f>
        <v>1</v>
      </c>
      <c r="X11" s="5" t="b">
        <f t="shared" ref="X11:X34" si="3">EXACT(N11,C11)</f>
        <v>1</v>
      </c>
      <c r="Y11" s="5" t="b">
        <f t="shared" ref="Y11:Y34" si="4">EXACT(O11,D11)</f>
        <v>1</v>
      </c>
      <c r="Z11" s="5" t="b">
        <f t="shared" ref="Z11:Z34" si="5">EXACT(P11,E11)</f>
        <v>1</v>
      </c>
      <c r="AA11" s="5" t="b">
        <f t="shared" ref="AA11:AA34" si="6">EXACT(Q11,F11)</f>
        <v>1</v>
      </c>
      <c r="AB11" s="5" t="b">
        <f t="shared" ref="AB11:AB34" si="7">EXACT(R11,G11)</f>
        <v>1</v>
      </c>
      <c r="AC11" s="5" t="b">
        <f t="shared" ref="AC11:AC34" si="8">EXACT(S11,H11)</f>
        <v>1</v>
      </c>
      <c r="AD11" s="5" t="b">
        <f t="shared" ref="AD11:AD34" si="9">EXACT(T11,I11)</f>
        <v>1</v>
      </c>
      <c r="AE11" s="5" t="b">
        <f t="shared" ref="AE11:AE34" si="10">EXACT(U11,J11)</f>
        <v>1</v>
      </c>
      <c r="AF11" s="5" t="b">
        <f t="shared" ref="AF11:AF34" si="11">EXACT(V11,K11)</f>
        <v>1</v>
      </c>
    </row>
    <row r="12" spans="2:32" ht="40" customHeight="1">
      <c r="B12" s="36"/>
      <c r="C12" s="36"/>
      <c r="D12" s="36"/>
      <c r="E12" s="36"/>
      <c r="F12" s="37"/>
      <c r="G12" s="37"/>
      <c r="H12" s="99"/>
      <c r="I12" s="96"/>
      <c r="J12" s="100"/>
      <c r="K12" s="101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5" t="b">
        <f t="shared" si="2"/>
        <v>1</v>
      </c>
      <c r="X12" s="5" t="b">
        <f t="shared" si="3"/>
        <v>1</v>
      </c>
      <c r="Y12" s="5" t="b">
        <f t="shared" si="4"/>
        <v>1</v>
      </c>
      <c r="Z12" s="5" t="b">
        <f t="shared" si="5"/>
        <v>1</v>
      </c>
      <c r="AA12" s="5" t="b">
        <f t="shared" si="6"/>
        <v>1</v>
      </c>
      <c r="AB12" s="5" t="b">
        <f t="shared" si="7"/>
        <v>1</v>
      </c>
      <c r="AC12" s="5" t="b">
        <f t="shared" si="8"/>
        <v>1</v>
      </c>
      <c r="AD12" s="5" t="b">
        <f t="shared" si="9"/>
        <v>1</v>
      </c>
      <c r="AE12" s="5" t="b">
        <f t="shared" si="10"/>
        <v>1</v>
      </c>
      <c r="AF12" s="5" t="b">
        <f t="shared" si="11"/>
        <v>1</v>
      </c>
    </row>
    <row r="13" spans="2:32" ht="40" customHeight="1">
      <c r="B13" s="36"/>
      <c r="C13" s="36"/>
      <c r="D13" s="36"/>
      <c r="E13" s="36"/>
      <c r="F13" s="37"/>
      <c r="G13" s="37"/>
      <c r="H13" s="99"/>
      <c r="I13" s="96"/>
      <c r="J13" s="100"/>
      <c r="K13" s="101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5" t="b">
        <f t="shared" si="2"/>
        <v>1</v>
      </c>
      <c r="X13" s="5" t="b">
        <f t="shared" si="3"/>
        <v>1</v>
      </c>
      <c r="Y13" s="5" t="b">
        <f t="shared" si="4"/>
        <v>1</v>
      </c>
      <c r="Z13" s="5" t="b">
        <f t="shared" si="5"/>
        <v>1</v>
      </c>
      <c r="AA13" s="5" t="b">
        <f t="shared" si="6"/>
        <v>1</v>
      </c>
      <c r="AB13" s="5" t="b">
        <f t="shared" si="7"/>
        <v>1</v>
      </c>
      <c r="AC13" s="5" t="b">
        <f t="shared" si="8"/>
        <v>1</v>
      </c>
      <c r="AD13" s="5" t="b">
        <f t="shared" si="9"/>
        <v>1</v>
      </c>
      <c r="AE13" s="5" t="b">
        <f t="shared" si="10"/>
        <v>1</v>
      </c>
      <c r="AF13" s="5" t="b">
        <f t="shared" si="11"/>
        <v>1</v>
      </c>
    </row>
    <row r="14" spans="2:32" ht="40" customHeight="1">
      <c r="B14" s="36"/>
      <c r="C14" s="36"/>
      <c r="D14" s="36"/>
      <c r="E14" s="36"/>
      <c r="F14" s="37"/>
      <c r="G14" s="37"/>
      <c r="H14" s="99"/>
      <c r="I14" s="96"/>
      <c r="J14" s="100"/>
      <c r="K14" s="101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5" t="b">
        <f t="shared" si="2"/>
        <v>1</v>
      </c>
      <c r="X14" s="5" t="b">
        <f t="shared" si="3"/>
        <v>1</v>
      </c>
      <c r="Y14" s="5" t="b">
        <f t="shared" si="4"/>
        <v>1</v>
      </c>
      <c r="Z14" s="5" t="b">
        <f t="shared" si="5"/>
        <v>1</v>
      </c>
      <c r="AA14" s="5" t="b">
        <f t="shared" si="6"/>
        <v>1</v>
      </c>
      <c r="AB14" s="5" t="b">
        <f t="shared" si="7"/>
        <v>1</v>
      </c>
      <c r="AC14" s="5" t="b">
        <f t="shared" si="8"/>
        <v>1</v>
      </c>
      <c r="AD14" s="5" t="b">
        <f t="shared" si="9"/>
        <v>1</v>
      </c>
      <c r="AE14" s="5" t="b">
        <f t="shared" si="10"/>
        <v>1</v>
      </c>
      <c r="AF14" s="5" t="b">
        <f t="shared" si="11"/>
        <v>1</v>
      </c>
    </row>
    <row r="15" spans="2:32" ht="40" customHeight="1">
      <c r="B15" s="36"/>
      <c r="C15" s="36"/>
      <c r="D15" s="36"/>
      <c r="E15" s="36"/>
      <c r="F15" s="37"/>
      <c r="G15" s="37"/>
      <c r="H15" s="99"/>
      <c r="I15" s="96"/>
      <c r="J15" s="100"/>
      <c r="K15" s="101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5" t="b">
        <f t="shared" si="2"/>
        <v>1</v>
      </c>
      <c r="X15" s="5" t="b">
        <f t="shared" si="3"/>
        <v>1</v>
      </c>
      <c r="Y15" s="5" t="b">
        <f t="shared" si="4"/>
        <v>1</v>
      </c>
      <c r="Z15" s="5" t="b">
        <f t="shared" si="5"/>
        <v>1</v>
      </c>
      <c r="AA15" s="5" t="b">
        <f t="shared" si="6"/>
        <v>1</v>
      </c>
      <c r="AB15" s="5" t="b">
        <f t="shared" si="7"/>
        <v>1</v>
      </c>
      <c r="AC15" s="5" t="b">
        <f t="shared" si="8"/>
        <v>1</v>
      </c>
      <c r="AD15" s="5" t="b">
        <f t="shared" si="9"/>
        <v>1</v>
      </c>
      <c r="AE15" s="5" t="b">
        <f t="shared" si="10"/>
        <v>1</v>
      </c>
      <c r="AF15" s="5" t="b">
        <f t="shared" si="11"/>
        <v>1</v>
      </c>
    </row>
    <row r="16" spans="2:32" ht="40" customHeight="1">
      <c r="B16" s="36"/>
      <c r="C16" s="36"/>
      <c r="D16" s="36"/>
      <c r="E16" s="36"/>
      <c r="F16" s="37"/>
      <c r="G16" s="37"/>
      <c r="H16" s="99"/>
      <c r="I16" s="96"/>
      <c r="J16" s="100"/>
      <c r="K16" s="101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5" t="b">
        <f t="shared" si="2"/>
        <v>1</v>
      </c>
      <c r="X16" s="5" t="b">
        <f t="shared" si="3"/>
        <v>1</v>
      </c>
      <c r="Y16" s="5" t="b">
        <f t="shared" si="4"/>
        <v>1</v>
      </c>
      <c r="Z16" s="5" t="b">
        <f t="shared" si="5"/>
        <v>1</v>
      </c>
      <c r="AA16" s="5" t="b">
        <f t="shared" si="6"/>
        <v>1</v>
      </c>
      <c r="AB16" s="5" t="b">
        <f t="shared" si="7"/>
        <v>1</v>
      </c>
      <c r="AC16" s="5" t="b">
        <f t="shared" si="8"/>
        <v>1</v>
      </c>
      <c r="AD16" s="5" t="b">
        <f t="shared" si="9"/>
        <v>1</v>
      </c>
      <c r="AE16" s="5" t="b">
        <f t="shared" si="10"/>
        <v>1</v>
      </c>
      <c r="AF16" s="5" t="b">
        <f t="shared" si="11"/>
        <v>1</v>
      </c>
    </row>
    <row r="17" spans="2:32" ht="40" customHeight="1">
      <c r="B17" s="36"/>
      <c r="C17" s="36"/>
      <c r="D17" s="36"/>
      <c r="E17" s="36"/>
      <c r="F17" s="37"/>
      <c r="G17" s="37"/>
      <c r="H17" s="99"/>
      <c r="I17" s="96"/>
      <c r="J17" s="100"/>
      <c r="K17" s="101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5" t="b">
        <f t="shared" si="2"/>
        <v>1</v>
      </c>
      <c r="X17" s="5" t="b">
        <f t="shared" si="3"/>
        <v>1</v>
      </c>
      <c r="Y17" s="5" t="b">
        <f t="shared" si="4"/>
        <v>1</v>
      </c>
      <c r="Z17" s="5" t="b">
        <f t="shared" si="5"/>
        <v>1</v>
      </c>
      <c r="AA17" s="5" t="b">
        <f t="shared" si="6"/>
        <v>1</v>
      </c>
      <c r="AB17" s="5" t="b">
        <f t="shared" si="7"/>
        <v>1</v>
      </c>
      <c r="AC17" s="5" t="b">
        <f t="shared" si="8"/>
        <v>1</v>
      </c>
      <c r="AD17" s="5" t="b">
        <f t="shared" si="9"/>
        <v>1</v>
      </c>
      <c r="AE17" s="5" t="b">
        <f t="shared" si="10"/>
        <v>1</v>
      </c>
      <c r="AF17" s="5" t="b">
        <f t="shared" si="11"/>
        <v>1</v>
      </c>
    </row>
    <row r="18" spans="2:32" ht="40" customHeight="1">
      <c r="B18" s="36"/>
      <c r="C18" s="36"/>
      <c r="D18" s="36"/>
      <c r="E18" s="36"/>
      <c r="F18" s="37"/>
      <c r="G18" s="37"/>
      <c r="H18" s="99"/>
      <c r="I18" s="96"/>
      <c r="J18" s="100"/>
      <c r="K18" s="101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5" t="b">
        <f t="shared" si="2"/>
        <v>1</v>
      </c>
      <c r="X18" s="5" t="b">
        <f t="shared" si="3"/>
        <v>1</v>
      </c>
      <c r="Y18" s="5" t="b">
        <f t="shared" si="4"/>
        <v>1</v>
      </c>
      <c r="Z18" s="5" t="b">
        <f t="shared" si="5"/>
        <v>1</v>
      </c>
      <c r="AA18" s="5" t="b">
        <f t="shared" si="6"/>
        <v>1</v>
      </c>
      <c r="AB18" s="5" t="b">
        <f t="shared" si="7"/>
        <v>1</v>
      </c>
      <c r="AC18" s="5" t="b">
        <f t="shared" si="8"/>
        <v>1</v>
      </c>
      <c r="AD18" s="5" t="b">
        <f t="shared" si="9"/>
        <v>1</v>
      </c>
      <c r="AE18" s="5" t="b">
        <f t="shared" si="10"/>
        <v>1</v>
      </c>
      <c r="AF18" s="5" t="b">
        <f t="shared" si="11"/>
        <v>1</v>
      </c>
    </row>
    <row r="19" spans="2:32" ht="40" customHeight="1">
      <c r="B19" s="36"/>
      <c r="C19" s="36"/>
      <c r="D19" s="36"/>
      <c r="E19" s="36"/>
      <c r="F19" s="37"/>
      <c r="G19" s="37"/>
      <c r="H19" s="99"/>
      <c r="I19" s="96"/>
      <c r="J19" s="100"/>
      <c r="K19" s="101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5" t="b">
        <f t="shared" si="2"/>
        <v>1</v>
      </c>
      <c r="X19" s="5" t="b">
        <f t="shared" si="3"/>
        <v>1</v>
      </c>
      <c r="Y19" s="5" t="b">
        <f t="shared" si="4"/>
        <v>1</v>
      </c>
      <c r="Z19" s="5" t="b">
        <f t="shared" si="5"/>
        <v>1</v>
      </c>
      <c r="AA19" s="5" t="b">
        <f t="shared" si="6"/>
        <v>1</v>
      </c>
      <c r="AB19" s="5" t="b">
        <f t="shared" si="7"/>
        <v>1</v>
      </c>
      <c r="AC19" s="5" t="b">
        <f t="shared" si="8"/>
        <v>1</v>
      </c>
      <c r="AD19" s="5" t="b">
        <f t="shared" si="9"/>
        <v>1</v>
      </c>
      <c r="AE19" s="5" t="b">
        <f t="shared" si="10"/>
        <v>1</v>
      </c>
      <c r="AF19" s="5" t="b">
        <f t="shared" si="11"/>
        <v>1</v>
      </c>
    </row>
    <row r="20" spans="2:32" ht="40" customHeight="1">
      <c r="B20" s="36"/>
      <c r="C20" s="36"/>
      <c r="D20" s="36"/>
      <c r="E20" s="36"/>
      <c r="F20" s="37"/>
      <c r="G20" s="37"/>
      <c r="H20" s="99"/>
      <c r="I20" s="96"/>
      <c r="J20" s="100"/>
      <c r="K20" s="101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5" t="b">
        <f t="shared" ref="W20:W28" si="12">EXACT(M20,B20)</f>
        <v>1</v>
      </c>
      <c r="X20" s="5" t="b">
        <f t="shared" ref="X20:X28" si="13">EXACT(N20,C20)</f>
        <v>1</v>
      </c>
      <c r="Y20" s="5" t="b">
        <f t="shared" ref="Y20:Y28" si="14">EXACT(O20,D20)</f>
        <v>1</v>
      </c>
      <c r="Z20" s="5" t="b">
        <f t="shared" ref="Z20:Z28" si="15">EXACT(P20,E20)</f>
        <v>1</v>
      </c>
      <c r="AA20" s="5" t="b">
        <f t="shared" ref="AA20:AA28" si="16">EXACT(Q20,F20)</f>
        <v>1</v>
      </c>
      <c r="AB20" s="5" t="b">
        <f t="shared" ref="AB20:AB28" si="17">EXACT(R20,G20)</f>
        <v>1</v>
      </c>
      <c r="AC20" s="5" t="b">
        <f t="shared" ref="AC20:AC28" si="18">EXACT(S20,H20)</f>
        <v>1</v>
      </c>
      <c r="AD20" s="5" t="b">
        <f t="shared" ref="AD20:AD28" si="19">EXACT(T20,I20)</f>
        <v>1</v>
      </c>
      <c r="AE20" s="5" t="b">
        <f t="shared" ref="AE20:AE28" si="20">EXACT(U20,J20)</f>
        <v>1</v>
      </c>
      <c r="AF20" s="5" t="b">
        <f t="shared" ref="AF20:AF28" si="21">EXACT(V20,K20)</f>
        <v>1</v>
      </c>
    </row>
    <row r="21" spans="2:32" ht="40" customHeight="1">
      <c r="B21" s="36"/>
      <c r="C21" s="36"/>
      <c r="D21" s="36"/>
      <c r="E21" s="36"/>
      <c r="F21" s="37"/>
      <c r="G21" s="37"/>
      <c r="H21" s="99"/>
      <c r="I21" s="96"/>
      <c r="J21" s="100"/>
      <c r="K21" s="101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5" t="b">
        <f t="shared" si="12"/>
        <v>1</v>
      </c>
      <c r="X21" s="5" t="b">
        <f t="shared" si="13"/>
        <v>1</v>
      </c>
      <c r="Y21" s="5" t="b">
        <f t="shared" si="14"/>
        <v>1</v>
      </c>
      <c r="Z21" s="5" t="b">
        <f t="shared" si="15"/>
        <v>1</v>
      </c>
      <c r="AA21" s="5" t="b">
        <f t="shared" si="16"/>
        <v>1</v>
      </c>
      <c r="AB21" s="5" t="b">
        <f t="shared" si="17"/>
        <v>1</v>
      </c>
      <c r="AC21" s="5" t="b">
        <f t="shared" si="18"/>
        <v>1</v>
      </c>
      <c r="AD21" s="5" t="b">
        <f t="shared" si="19"/>
        <v>1</v>
      </c>
      <c r="AE21" s="5" t="b">
        <f t="shared" si="20"/>
        <v>1</v>
      </c>
      <c r="AF21" s="5" t="b">
        <f t="shared" si="21"/>
        <v>1</v>
      </c>
    </row>
    <row r="22" spans="2:32" ht="40" customHeight="1">
      <c r="B22" s="36"/>
      <c r="C22" s="36"/>
      <c r="D22" s="36"/>
      <c r="E22" s="36"/>
      <c r="F22" s="37"/>
      <c r="G22" s="37"/>
      <c r="H22" s="99"/>
      <c r="I22" s="96"/>
      <c r="J22" s="100"/>
      <c r="K22" s="101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5" t="b">
        <f t="shared" si="12"/>
        <v>1</v>
      </c>
      <c r="X22" s="5" t="b">
        <f t="shared" si="13"/>
        <v>1</v>
      </c>
      <c r="Y22" s="5" t="b">
        <f t="shared" si="14"/>
        <v>1</v>
      </c>
      <c r="Z22" s="5" t="b">
        <f t="shared" si="15"/>
        <v>1</v>
      </c>
      <c r="AA22" s="5" t="b">
        <f t="shared" si="16"/>
        <v>1</v>
      </c>
      <c r="AB22" s="5" t="b">
        <f t="shared" si="17"/>
        <v>1</v>
      </c>
      <c r="AC22" s="5" t="b">
        <f t="shared" si="18"/>
        <v>1</v>
      </c>
      <c r="AD22" s="5" t="b">
        <f t="shared" si="19"/>
        <v>1</v>
      </c>
      <c r="AE22" s="5" t="b">
        <f t="shared" si="20"/>
        <v>1</v>
      </c>
      <c r="AF22" s="5" t="b">
        <f t="shared" si="21"/>
        <v>1</v>
      </c>
    </row>
    <row r="23" spans="2:32" ht="40" customHeight="1">
      <c r="B23" s="36"/>
      <c r="C23" s="36"/>
      <c r="D23" s="36"/>
      <c r="E23" s="36"/>
      <c r="F23" s="37"/>
      <c r="G23" s="37"/>
      <c r="H23" s="99"/>
      <c r="I23" s="96"/>
      <c r="J23" s="100"/>
      <c r="K23" s="101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5" t="b">
        <f t="shared" si="12"/>
        <v>1</v>
      </c>
      <c r="X23" s="5" t="b">
        <f t="shared" si="13"/>
        <v>1</v>
      </c>
      <c r="Y23" s="5" t="b">
        <f t="shared" si="14"/>
        <v>1</v>
      </c>
      <c r="Z23" s="5" t="b">
        <f t="shared" si="15"/>
        <v>1</v>
      </c>
      <c r="AA23" s="5" t="b">
        <f t="shared" si="16"/>
        <v>1</v>
      </c>
      <c r="AB23" s="5" t="b">
        <f t="shared" si="17"/>
        <v>1</v>
      </c>
      <c r="AC23" s="5" t="b">
        <f t="shared" si="18"/>
        <v>1</v>
      </c>
      <c r="AD23" s="5" t="b">
        <f t="shared" si="19"/>
        <v>1</v>
      </c>
      <c r="AE23" s="5" t="b">
        <f t="shared" si="20"/>
        <v>1</v>
      </c>
      <c r="AF23" s="5" t="b">
        <f t="shared" si="21"/>
        <v>1</v>
      </c>
    </row>
    <row r="24" spans="2:32" ht="40" customHeight="1">
      <c r="B24" s="36"/>
      <c r="C24" s="36"/>
      <c r="D24" s="36"/>
      <c r="E24" s="36"/>
      <c r="F24" s="37"/>
      <c r="G24" s="37"/>
      <c r="H24" s="99"/>
      <c r="I24" s="96"/>
      <c r="J24" s="100"/>
      <c r="K24" s="101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5" t="b">
        <f t="shared" si="12"/>
        <v>1</v>
      </c>
      <c r="X24" s="5" t="b">
        <f t="shared" si="13"/>
        <v>1</v>
      </c>
      <c r="Y24" s="5" t="b">
        <f t="shared" si="14"/>
        <v>1</v>
      </c>
      <c r="Z24" s="5" t="b">
        <f t="shared" si="15"/>
        <v>1</v>
      </c>
      <c r="AA24" s="5" t="b">
        <f t="shared" si="16"/>
        <v>1</v>
      </c>
      <c r="AB24" s="5" t="b">
        <f t="shared" si="17"/>
        <v>1</v>
      </c>
      <c r="AC24" s="5" t="b">
        <f t="shared" si="18"/>
        <v>1</v>
      </c>
      <c r="AD24" s="5" t="b">
        <f t="shared" si="19"/>
        <v>1</v>
      </c>
      <c r="AE24" s="5" t="b">
        <f t="shared" si="20"/>
        <v>1</v>
      </c>
      <c r="AF24" s="5" t="b">
        <f t="shared" si="21"/>
        <v>1</v>
      </c>
    </row>
    <row r="25" spans="2:32" ht="40" customHeight="1">
      <c r="B25" s="36"/>
      <c r="C25" s="36"/>
      <c r="D25" s="36"/>
      <c r="E25" s="36"/>
      <c r="F25" s="37"/>
      <c r="G25" s="37"/>
      <c r="H25" s="99"/>
      <c r="I25" s="96"/>
      <c r="J25" s="100"/>
      <c r="K25" s="101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5" t="b">
        <f t="shared" si="12"/>
        <v>1</v>
      </c>
      <c r="X25" s="5" t="b">
        <f t="shared" si="13"/>
        <v>1</v>
      </c>
      <c r="Y25" s="5" t="b">
        <f t="shared" si="14"/>
        <v>1</v>
      </c>
      <c r="Z25" s="5" t="b">
        <f t="shared" si="15"/>
        <v>1</v>
      </c>
      <c r="AA25" s="5" t="b">
        <f t="shared" si="16"/>
        <v>1</v>
      </c>
      <c r="AB25" s="5" t="b">
        <f t="shared" si="17"/>
        <v>1</v>
      </c>
      <c r="AC25" s="5" t="b">
        <f t="shared" si="18"/>
        <v>1</v>
      </c>
      <c r="AD25" s="5" t="b">
        <f t="shared" si="19"/>
        <v>1</v>
      </c>
      <c r="AE25" s="5" t="b">
        <f t="shared" si="20"/>
        <v>1</v>
      </c>
      <c r="AF25" s="5" t="b">
        <f t="shared" si="21"/>
        <v>1</v>
      </c>
    </row>
    <row r="26" spans="2:32" ht="40" customHeight="1">
      <c r="B26" s="36"/>
      <c r="C26" s="36"/>
      <c r="D26" s="36"/>
      <c r="E26" s="36"/>
      <c r="F26" s="37"/>
      <c r="G26" s="37"/>
      <c r="H26" s="99"/>
      <c r="I26" s="96"/>
      <c r="J26" s="100"/>
      <c r="K26" s="101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5" t="b">
        <f t="shared" si="12"/>
        <v>1</v>
      </c>
      <c r="X26" s="5" t="b">
        <f t="shared" si="13"/>
        <v>1</v>
      </c>
      <c r="Y26" s="5" t="b">
        <f t="shared" si="14"/>
        <v>1</v>
      </c>
      <c r="Z26" s="5" t="b">
        <f t="shared" si="15"/>
        <v>1</v>
      </c>
      <c r="AA26" s="5" t="b">
        <f t="shared" si="16"/>
        <v>1</v>
      </c>
      <c r="AB26" s="5" t="b">
        <f t="shared" si="17"/>
        <v>1</v>
      </c>
      <c r="AC26" s="5" t="b">
        <f t="shared" si="18"/>
        <v>1</v>
      </c>
      <c r="AD26" s="5" t="b">
        <f t="shared" si="19"/>
        <v>1</v>
      </c>
      <c r="AE26" s="5" t="b">
        <f t="shared" si="20"/>
        <v>1</v>
      </c>
      <c r="AF26" s="5" t="b">
        <f t="shared" si="21"/>
        <v>1</v>
      </c>
    </row>
    <row r="27" spans="2:32" ht="40" customHeight="1">
      <c r="B27" s="36"/>
      <c r="C27" s="36"/>
      <c r="D27" s="36"/>
      <c r="E27" s="36"/>
      <c r="F27" s="37"/>
      <c r="G27" s="37"/>
      <c r="H27" s="99"/>
      <c r="I27" s="96"/>
      <c r="J27" s="100"/>
      <c r="K27" s="101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5" t="b">
        <f t="shared" si="12"/>
        <v>1</v>
      </c>
      <c r="X27" s="5" t="b">
        <f t="shared" si="13"/>
        <v>1</v>
      </c>
      <c r="Y27" s="5" t="b">
        <f t="shared" si="14"/>
        <v>1</v>
      </c>
      <c r="Z27" s="5" t="b">
        <f t="shared" si="15"/>
        <v>1</v>
      </c>
      <c r="AA27" s="5" t="b">
        <f t="shared" si="16"/>
        <v>1</v>
      </c>
      <c r="AB27" s="5" t="b">
        <f t="shared" si="17"/>
        <v>1</v>
      </c>
      <c r="AC27" s="5" t="b">
        <f t="shared" si="18"/>
        <v>1</v>
      </c>
      <c r="AD27" s="5" t="b">
        <f t="shared" si="19"/>
        <v>1</v>
      </c>
      <c r="AE27" s="5" t="b">
        <f t="shared" si="20"/>
        <v>1</v>
      </c>
      <c r="AF27" s="5" t="b">
        <f t="shared" si="21"/>
        <v>1</v>
      </c>
    </row>
    <row r="28" spans="2:32" ht="40" customHeight="1">
      <c r="B28" s="36"/>
      <c r="C28" s="36"/>
      <c r="D28" s="36"/>
      <c r="E28" s="36"/>
      <c r="F28" s="37"/>
      <c r="G28" s="37"/>
      <c r="H28" s="99"/>
      <c r="I28" s="96"/>
      <c r="J28" s="100"/>
      <c r="K28" s="101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5" t="b">
        <f t="shared" si="12"/>
        <v>1</v>
      </c>
      <c r="X28" s="5" t="b">
        <f t="shared" si="13"/>
        <v>1</v>
      </c>
      <c r="Y28" s="5" t="b">
        <f t="shared" si="14"/>
        <v>1</v>
      </c>
      <c r="Z28" s="5" t="b">
        <f t="shared" si="15"/>
        <v>1</v>
      </c>
      <c r="AA28" s="5" t="b">
        <f t="shared" si="16"/>
        <v>1</v>
      </c>
      <c r="AB28" s="5" t="b">
        <f t="shared" si="17"/>
        <v>1</v>
      </c>
      <c r="AC28" s="5" t="b">
        <f t="shared" si="18"/>
        <v>1</v>
      </c>
      <c r="AD28" s="5" t="b">
        <f t="shared" si="19"/>
        <v>1</v>
      </c>
      <c r="AE28" s="5" t="b">
        <f t="shared" si="20"/>
        <v>1</v>
      </c>
      <c r="AF28" s="5" t="b">
        <f t="shared" si="21"/>
        <v>1</v>
      </c>
    </row>
    <row r="29" spans="2:32" ht="40" customHeight="1">
      <c r="B29" s="36"/>
      <c r="C29" s="36"/>
      <c r="D29" s="36"/>
      <c r="E29" s="36"/>
      <c r="F29" s="37"/>
      <c r="G29" s="37"/>
      <c r="H29" s="99"/>
      <c r="I29" s="96"/>
      <c r="J29" s="100"/>
      <c r="K29" s="101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5" t="b">
        <f t="shared" si="2"/>
        <v>1</v>
      </c>
      <c r="X29" s="5" t="b">
        <f t="shared" si="3"/>
        <v>1</v>
      </c>
      <c r="Y29" s="5" t="b">
        <f t="shared" si="4"/>
        <v>1</v>
      </c>
      <c r="Z29" s="5" t="b">
        <f t="shared" si="5"/>
        <v>1</v>
      </c>
      <c r="AA29" s="5" t="b">
        <f t="shared" si="6"/>
        <v>1</v>
      </c>
      <c r="AB29" s="5" t="b">
        <f t="shared" si="7"/>
        <v>1</v>
      </c>
      <c r="AC29" s="5" t="b">
        <f t="shared" si="8"/>
        <v>1</v>
      </c>
      <c r="AD29" s="5" t="b">
        <f t="shared" si="9"/>
        <v>1</v>
      </c>
      <c r="AE29" s="5" t="b">
        <f t="shared" si="10"/>
        <v>1</v>
      </c>
      <c r="AF29" s="5" t="b">
        <f t="shared" si="11"/>
        <v>1</v>
      </c>
    </row>
    <row r="30" spans="2:32" ht="40" customHeight="1">
      <c r="B30" s="36"/>
      <c r="C30" s="36"/>
      <c r="D30" s="36"/>
      <c r="E30" s="36"/>
      <c r="F30" s="37"/>
      <c r="G30" s="37"/>
      <c r="H30" s="99"/>
      <c r="I30" s="96"/>
      <c r="J30" s="100"/>
      <c r="K30" s="101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5" t="b">
        <f t="shared" si="2"/>
        <v>1</v>
      </c>
      <c r="X30" s="5" t="b">
        <f t="shared" si="3"/>
        <v>1</v>
      </c>
      <c r="Y30" s="5" t="b">
        <f t="shared" si="4"/>
        <v>1</v>
      </c>
      <c r="Z30" s="5" t="b">
        <f t="shared" si="5"/>
        <v>1</v>
      </c>
      <c r="AA30" s="5" t="b">
        <f t="shared" si="6"/>
        <v>1</v>
      </c>
      <c r="AB30" s="5" t="b">
        <f t="shared" si="7"/>
        <v>1</v>
      </c>
      <c r="AC30" s="5" t="b">
        <f t="shared" si="8"/>
        <v>1</v>
      </c>
      <c r="AD30" s="5" t="b">
        <f t="shared" si="9"/>
        <v>1</v>
      </c>
      <c r="AE30" s="5" t="b">
        <f t="shared" si="10"/>
        <v>1</v>
      </c>
      <c r="AF30" s="5" t="b">
        <f t="shared" si="11"/>
        <v>1</v>
      </c>
    </row>
    <row r="31" spans="2:32" ht="40" customHeight="1">
      <c r="B31" s="36"/>
      <c r="C31" s="36"/>
      <c r="D31" s="36"/>
      <c r="E31" s="36"/>
      <c r="F31" s="37"/>
      <c r="G31" s="37"/>
      <c r="H31" s="99"/>
      <c r="I31" s="96"/>
      <c r="J31" s="100"/>
      <c r="K31" s="101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5" t="b">
        <f t="shared" si="2"/>
        <v>1</v>
      </c>
      <c r="X31" s="5" t="b">
        <f t="shared" si="3"/>
        <v>1</v>
      </c>
      <c r="Y31" s="5" t="b">
        <f t="shared" si="4"/>
        <v>1</v>
      </c>
      <c r="Z31" s="5" t="b">
        <f t="shared" si="5"/>
        <v>1</v>
      </c>
      <c r="AA31" s="5" t="b">
        <f t="shared" si="6"/>
        <v>1</v>
      </c>
      <c r="AB31" s="5" t="b">
        <f t="shared" si="7"/>
        <v>1</v>
      </c>
      <c r="AC31" s="5" t="b">
        <f t="shared" si="8"/>
        <v>1</v>
      </c>
      <c r="AD31" s="5" t="b">
        <f t="shared" si="9"/>
        <v>1</v>
      </c>
      <c r="AE31" s="5" t="b">
        <f t="shared" si="10"/>
        <v>1</v>
      </c>
      <c r="AF31" s="5" t="b">
        <f t="shared" si="11"/>
        <v>1</v>
      </c>
    </row>
    <row r="32" spans="2:32" ht="40" customHeight="1">
      <c r="B32" s="36"/>
      <c r="C32" s="36"/>
      <c r="D32" s="36"/>
      <c r="E32" s="36"/>
      <c r="F32" s="37"/>
      <c r="G32" s="37"/>
      <c r="H32" s="99"/>
      <c r="I32" s="96"/>
      <c r="J32" s="100"/>
      <c r="K32" s="101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5" t="b">
        <f t="shared" si="2"/>
        <v>1</v>
      </c>
      <c r="X32" s="5" t="b">
        <f t="shared" si="3"/>
        <v>1</v>
      </c>
      <c r="Y32" s="5" t="b">
        <f t="shared" si="4"/>
        <v>1</v>
      </c>
      <c r="Z32" s="5" t="b">
        <f t="shared" si="5"/>
        <v>1</v>
      </c>
      <c r="AA32" s="5" t="b">
        <f t="shared" si="6"/>
        <v>1</v>
      </c>
      <c r="AB32" s="5" t="b">
        <f t="shared" si="7"/>
        <v>1</v>
      </c>
      <c r="AC32" s="5" t="b">
        <f t="shared" si="8"/>
        <v>1</v>
      </c>
      <c r="AD32" s="5" t="b">
        <f t="shared" si="9"/>
        <v>1</v>
      </c>
      <c r="AE32" s="5" t="b">
        <f t="shared" si="10"/>
        <v>1</v>
      </c>
      <c r="AF32" s="5" t="b">
        <f t="shared" si="11"/>
        <v>1</v>
      </c>
    </row>
    <row r="33" spans="2:32" ht="40" customHeight="1">
      <c r="B33" s="36"/>
      <c r="C33" s="36"/>
      <c r="D33" s="36"/>
      <c r="E33" s="36"/>
      <c r="F33" s="37"/>
      <c r="G33" s="37"/>
      <c r="H33" s="99"/>
      <c r="I33" s="96"/>
      <c r="J33" s="100"/>
      <c r="K33" s="101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5" t="b">
        <f t="shared" si="2"/>
        <v>1</v>
      </c>
      <c r="X33" s="5" t="b">
        <f t="shared" si="3"/>
        <v>1</v>
      </c>
      <c r="Y33" s="5" t="b">
        <f t="shared" si="4"/>
        <v>1</v>
      </c>
      <c r="Z33" s="5" t="b">
        <f t="shared" si="5"/>
        <v>1</v>
      </c>
      <c r="AA33" s="5" t="b">
        <f t="shared" si="6"/>
        <v>1</v>
      </c>
      <c r="AB33" s="5" t="b">
        <f t="shared" si="7"/>
        <v>1</v>
      </c>
      <c r="AC33" s="5" t="b">
        <f t="shared" si="8"/>
        <v>1</v>
      </c>
      <c r="AD33" s="5" t="b">
        <f t="shared" si="9"/>
        <v>1</v>
      </c>
      <c r="AE33" s="5" t="b">
        <f t="shared" si="10"/>
        <v>1</v>
      </c>
      <c r="AF33" s="5" t="b">
        <f t="shared" si="11"/>
        <v>1</v>
      </c>
    </row>
    <row r="34" spans="2:32" ht="40" customHeight="1">
      <c r="B34" s="36"/>
      <c r="C34" s="36"/>
      <c r="D34" s="36"/>
      <c r="E34" s="36"/>
      <c r="F34" s="37"/>
      <c r="G34" s="37"/>
      <c r="H34" s="99"/>
      <c r="I34" s="96"/>
      <c r="J34" s="100"/>
      <c r="K34" s="101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5" t="b">
        <f t="shared" si="2"/>
        <v>1</v>
      </c>
      <c r="X34" s="5" t="b">
        <f t="shared" si="3"/>
        <v>1</v>
      </c>
      <c r="Y34" s="5" t="b">
        <f t="shared" si="4"/>
        <v>1</v>
      </c>
      <c r="Z34" s="5" t="b">
        <f t="shared" si="5"/>
        <v>1</v>
      </c>
      <c r="AA34" s="5" t="b">
        <f t="shared" si="6"/>
        <v>1</v>
      </c>
      <c r="AB34" s="5" t="b">
        <f t="shared" si="7"/>
        <v>1</v>
      </c>
      <c r="AC34" s="5" t="b">
        <f t="shared" si="8"/>
        <v>1</v>
      </c>
      <c r="AD34" s="5" t="b">
        <f t="shared" si="9"/>
        <v>1</v>
      </c>
      <c r="AE34" s="5" t="b">
        <f t="shared" si="10"/>
        <v>1</v>
      </c>
      <c r="AF34" s="5" t="b">
        <f t="shared" si="11"/>
        <v>1</v>
      </c>
    </row>
    <row r="35" spans="2:32" ht="40" customHeight="1">
      <c r="B35" s="36"/>
      <c r="C35" s="36"/>
      <c r="D35" s="36"/>
      <c r="E35" s="36"/>
      <c r="F35" s="37"/>
      <c r="G35" s="37"/>
      <c r="H35" s="99"/>
      <c r="I35" s="96"/>
      <c r="J35" s="100"/>
      <c r="K35" s="101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5" t="b">
        <f t="shared" ref="W35:W40" si="22">EXACT(M35,B35)</f>
        <v>1</v>
      </c>
      <c r="X35" s="5" t="b">
        <f t="shared" ref="X35:X40" si="23">EXACT(N35,C35)</f>
        <v>1</v>
      </c>
      <c r="Y35" s="5" t="b">
        <f t="shared" ref="Y35:Y40" si="24">EXACT(O35,D35)</f>
        <v>1</v>
      </c>
      <c r="Z35" s="5" t="b">
        <f t="shared" ref="Z35:Z40" si="25">EXACT(P35,E35)</f>
        <v>1</v>
      </c>
      <c r="AA35" s="5" t="b">
        <f t="shared" ref="AA35:AA40" si="26">EXACT(Q35,F35)</f>
        <v>1</v>
      </c>
      <c r="AB35" s="5" t="b">
        <f t="shared" ref="AB35:AB40" si="27">EXACT(R35,G35)</f>
        <v>1</v>
      </c>
      <c r="AC35" s="5" t="b">
        <f t="shared" ref="AC35:AC40" si="28">EXACT(S35,H35)</f>
        <v>1</v>
      </c>
      <c r="AD35" s="5" t="b">
        <f t="shared" ref="AD35:AD40" si="29">EXACT(T35,I35)</f>
        <v>1</v>
      </c>
      <c r="AE35" s="5" t="b">
        <f t="shared" ref="AE35:AE40" si="30">EXACT(U35,J35)</f>
        <v>1</v>
      </c>
      <c r="AF35" s="5" t="b">
        <f t="shared" ref="AF35:AF40" si="31">EXACT(V35,K35)</f>
        <v>1</v>
      </c>
    </row>
    <row r="36" spans="2:32" ht="40" customHeight="1">
      <c r="B36" s="36"/>
      <c r="C36" s="36"/>
      <c r="D36" s="36"/>
      <c r="E36" s="36"/>
      <c r="F36" s="37"/>
      <c r="G36" s="37"/>
      <c r="H36" s="99"/>
      <c r="I36" s="96"/>
      <c r="J36" s="100"/>
      <c r="K36" s="101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5" t="b">
        <f t="shared" si="22"/>
        <v>1</v>
      </c>
      <c r="X36" s="5" t="b">
        <f t="shared" si="23"/>
        <v>1</v>
      </c>
      <c r="Y36" s="5" t="b">
        <f t="shared" si="24"/>
        <v>1</v>
      </c>
      <c r="Z36" s="5" t="b">
        <f t="shared" si="25"/>
        <v>1</v>
      </c>
      <c r="AA36" s="5" t="b">
        <f t="shared" si="26"/>
        <v>1</v>
      </c>
      <c r="AB36" s="5" t="b">
        <f t="shared" si="27"/>
        <v>1</v>
      </c>
      <c r="AC36" s="5" t="b">
        <f t="shared" si="28"/>
        <v>1</v>
      </c>
      <c r="AD36" s="5" t="b">
        <f t="shared" si="29"/>
        <v>1</v>
      </c>
      <c r="AE36" s="5" t="b">
        <f t="shared" si="30"/>
        <v>1</v>
      </c>
      <c r="AF36" s="5" t="b">
        <f t="shared" si="31"/>
        <v>1</v>
      </c>
    </row>
    <row r="37" spans="2:32" ht="40" customHeight="1">
      <c r="B37" s="36"/>
      <c r="C37" s="36"/>
      <c r="D37" s="36"/>
      <c r="E37" s="36"/>
      <c r="F37" s="37"/>
      <c r="G37" s="37"/>
      <c r="H37" s="99"/>
      <c r="I37" s="96"/>
      <c r="J37" s="100"/>
      <c r="K37" s="101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5" t="b">
        <f t="shared" si="22"/>
        <v>1</v>
      </c>
      <c r="X37" s="5" t="b">
        <f t="shared" si="23"/>
        <v>1</v>
      </c>
      <c r="Y37" s="5" t="b">
        <f t="shared" si="24"/>
        <v>1</v>
      </c>
      <c r="Z37" s="5" t="b">
        <f t="shared" si="25"/>
        <v>1</v>
      </c>
      <c r="AA37" s="5" t="b">
        <f t="shared" si="26"/>
        <v>1</v>
      </c>
      <c r="AB37" s="5" t="b">
        <f t="shared" si="27"/>
        <v>1</v>
      </c>
      <c r="AC37" s="5" t="b">
        <f t="shared" si="28"/>
        <v>1</v>
      </c>
      <c r="AD37" s="5" t="b">
        <f t="shared" si="29"/>
        <v>1</v>
      </c>
      <c r="AE37" s="5" t="b">
        <f t="shared" si="30"/>
        <v>1</v>
      </c>
      <c r="AF37" s="5" t="b">
        <f t="shared" si="31"/>
        <v>1</v>
      </c>
    </row>
    <row r="38" spans="2:32" ht="40" customHeight="1">
      <c r="B38" s="36"/>
      <c r="C38" s="36"/>
      <c r="D38" s="36"/>
      <c r="E38" s="36"/>
      <c r="F38" s="37"/>
      <c r="G38" s="37"/>
      <c r="H38" s="99"/>
      <c r="I38" s="96"/>
      <c r="J38" s="100"/>
      <c r="K38" s="101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5" t="b">
        <f t="shared" si="22"/>
        <v>1</v>
      </c>
      <c r="X38" s="5" t="b">
        <f t="shared" si="23"/>
        <v>1</v>
      </c>
      <c r="Y38" s="5" t="b">
        <f t="shared" si="24"/>
        <v>1</v>
      </c>
      <c r="Z38" s="5" t="b">
        <f t="shared" si="25"/>
        <v>1</v>
      </c>
      <c r="AA38" s="5" t="b">
        <f t="shared" si="26"/>
        <v>1</v>
      </c>
      <c r="AB38" s="5" t="b">
        <f t="shared" si="27"/>
        <v>1</v>
      </c>
      <c r="AC38" s="5" t="b">
        <f t="shared" si="28"/>
        <v>1</v>
      </c>
      <c r="AD38" s="5" t="b">
        <f t="shared" si="29"/>
        <v>1</v>
      </c>
      <c r="AE38" s="5" t="b">
        <f t="shared" si="30"/>
        <v>1</v>
      </c>
      <c r="AF38" s="5" t="b">
        <f t="shared" si="31"/>
        <v>1</v>
      </c>
    </row>
    <row r="39" spans="2:32" ht="40" customHeight="1">
      <c r="B39" s="36"/>
      <c r="C39" s="36"/>
      <c r="D39" s="36"/>
      <c r="E39" s="36"/>
      <c r="F39" s="37"/>
      <c r="G39" s="37"/>
      <c r="H39" s="99"/>
      <c r="I39" s="96"/>
      <c r="J39" s="100"/>
      <c r="K39" s="101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5" t="b">
        <f t="shared" si="22"/>
        <v>1</v>
      </c>
      <c r="X39" s="5" t="b">
        <f t="shared" si="23"/>
        <v>1</v>
      </c>
      <c r="Y39" s="5" t="b">
        <f t="shared" si="24"/>
        <v>1</v>
      </c>
      <c r="Z39" s="5" t="b">
        <f t="shared" si="25"/>
        <v>1</v>
      </c>
      <c r="AA39" s="5" t="b">
        <f t="shared" si="26"/>
        <v>1</v>
      </c>
      <c r="AB39" s="5" t="b">
        <f t="shared" si="27"/>
        <v>1</v>
      </c>
      <c r="AC39" s="5" t="b">
        <f t="shared" si="28"/>
        <v>1</v>
      </c>
      <c r="AD39" s="5" t="b">
        <f t="shared" si="29"/>
        <v>1</v>
      </c>
      <c r="AE39" s="5" t="b">
        <f t="shared" si="30"/>
        <v>1</v>
      </c>
      <c r="AF39" s="5" t="b">
        <f t="shared" si="31"/>
        <v>1</v>
      </c>
    </row>
    <row r="40" spans="2:32" ht="40" customHeight="1">
      <c r="B40" s="36"/>
      <c r="C40" s="36"/>
      <c r="D40" s="36"/>
      <c r="E40" s="36"/>
      <c r="F40" s="37"/>
      <c r="G40" s="37"/>
      <c r="H40" s="99"/>
      <c r="I40" s="96"/>
      <c r="J40" s="100"/>
      <c r="K40" s="101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5" t="b">
        <f t="shared" si="22"/>
        <v>1</v>
      </c>
      <c r="X40" s="5" t="b">
        <f t="shared" si="23"/>
        <v>1</v>
      </c>
      <c r="Y40" s="5" t="b">
        <f t="shared" si="24"/>
        <v>1</v>
      </c>
      <c r="Z40" s="5" t="b">
        <f t="shared" si="25"/>
        <v>1</v>
      </c>
      <c r="AA40" s="5" t="b">
        <f t="shared" si="26"/>
        <v>1</v>
      </c>
      <c r="AB40" s="5" t="b">
        <f t="shared" si="27"/>
        <v>1</v>
      </c>
      <c r="AC40" s="5" t="b">
        <f t="shared" si="28"/>
        <v>1</v>
      </c>
      <c r="AD40" s="5" t="b">
        <f t="shared" si="29"/>
        <v>1</v>
      </c>
      <c r="AE40" s="5" t="b">
        <f t="shared" si="30"/>
        <v>1</v>
      </c>
      <c r="AF40" s="5" t="b">
        <f t="shared" si="31"/>
        <v>1</v>
      </c>
    </row>
  </sheetData>
  <mergeCells count="4">
    <mergeCell ref="I9:J9"/>
    <mergeCell ref="T9:U9"/>
    <mergeCell ref="B7:H7"/>
    <mergeCell ref="B8:H8"/>
  </mergeCells>
  <phoneticPr fontId="2"/>
  <conditionalFormatting sqref="I11:I40">
    <cfRule type="cellIs" priority="1" stopIfTrue="1" operator="equal">
      <formula>"対象外"</formula>
    </cfRule>
    <cfRule type="cellIs" dxfId="10" priority="2" operator="greaterThanOrEqual">
      <formula>4</formula>
    </cfRule>
    <cfRule type="cellIs" dxfId="9" priority="3" operator="between">
      <formula>1</formula>
      <formula>3</formula>
    </cfRule>
  </conditionalFormatting>
  <conditionalFormatting sqref="K11:K40">
    <cfRule type="cellIs" dxfId="8" priority="4" operator="equal">
      <formula>"-"</formula>
    </cfRule>
    <cfRule type="cellIs" dxfId="7" priority="5" stopIfTrue="1" operator="greaterThan">
      <formula>45</formula>
    </cfRule>
  </conditionalFormatting>
  <conditionalFormatting sqref="W10:AF40">
    <cfRule type="cellIs" dxfId="6" priority="1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AA46-9C21-4B4D-82C3-ECCAFB55791F}">
  <sheetPr codeName="Sheet11"/>
  <dimension ref="B2:AP24"/>
  <sheetViews>
    <sheetView topLeftCell="A10" zoomScale="70" zoomScaleNormal="70" workbookViewId="0">
      <selection activeCell="O28" sqref="O28"/>
    </sheetView>
  </sheetViews>
  <sheetFormatPr defaultRowHeight="18"/>
  <cols>
    <col min="2" max="2" width="9.58203125" customWidth="1"/>
    <col min="3" max="3" width="10.58203125" customWidth="1"/>
    <col min="4" max="14" width="9.58203125" customWidth="1"/>
  </cols>
  <sheetData>
    <row r="2" spans="2:42">
      <c r="B2" s="23" t="s">
        <v>9</v>
      </c>
    </row>
    <row r="3" spans="2:42">
      <c r="B3" s="4" t="s">
        <v>78</v>
      </c>
    </row>
    <row r="4" spans="2:42">
      <c r="B4" s="4"/>
    </row>
    <row r="5" spans="2:42">
      <c r="B5" s="24" t="s">
        <v>80</v>
      </c>
    </row>
    <row r="6" spans="2:42" ht="18" customHeight="1">
      <c r="B6" s="24" t="s">
        <v>77</v>
      </c>
    </row>
    <row r="7" spans="2:42">
      <c r="B7" s="24" t="s">
        <v>79</v>
      </c>
    </row>
    <row r="8" spans="2:42">
      <c r="B8" s="24"/>
    </row>
    <row r="9" spans="2:42" ht="18.5" thickBot="1">
      <c r="B9" s="24"/>
    </row>
    <row r="10" spans="2:42" ht="72" customHeight="1" thickBot="1">
      <c r="B10" s="115"/>
      <c r="C10" s="115"/>
      <c r="D10" s="115"/>
      <c r="E10" s="115"/>
      <c r="F10" s="115"/>
      <c r="G10" s="115"/>
      <c r="H10" s="115"/>
      <c r="I10" s="115"/>
      <c r="J10" s="115"/>
      <c r="K10" s="143" t="s">
        <v>57</v>
      </c>
      <c r="L10" s="144"/>
      <c r="M10" s="115"/>
      <c r="N10" s="115"/>
      <c r="O10" s="5"/>
      <c r="P10" s="115"/>
      <c r="Q10" s="115"/>
      <c r="R10" s="115"/>
      <c r="S10" s="115"/>
      <c r="T10" s="115"/>
      <c r="U10" s="115"/>
      <c r="V10" s="115"/>
      <c r="W10" s="115"/>
      <c r="X10" s="115"/>
      <c r="Y10" s="143" t="s">
        <v>57</v>
      </c>
      <c r="Z10" s="144"/>
      <c r="AA10" s="115"/>
      <c r="AB10" s="115"/>
      <c r="AD10" s="124" t="b">
        <f>EXACT(B10,P10)</f>
        <v>1</v>
      </c>
      <c r="AE10" s="124" t="b">
        <f t="shared" ref="AE10:AP10" si="0">EXACT(C10,Q10)</f>
        <v>1</v>
      </c>
      <c r="AF10" s="124" t="b">
        <f t="shared" si="0"/>
        <v>1</v>
      </c>
      <c r="AG10" s="124" t="b">
        <f t="shared" si="0"/>
        <v>1</v>
      </c>
      <c r="AH10" s="124" t="b">
        <f t="shared" si="0"/>
        <v>1</v>
      </c>
      <c r="AI10" s="124" t="b">
        <f t="shared" si="0"/>
        <v>1</v>
      </c>
      <c r="AJ10" s="124" t="b">
        <f t="shared" si="0"/>
        <v>1</v>
      </c>
      <c r="AK10" s="124" t="b">
        <f t="shared" si="0"/>
        <v>1</v>
      </c>
      <c r="AL10" s="124" t="b">
        <f t="shared" si="0"/>
        <v>1</v>
      </c>
      <c r="AM10" s="124" t="b">
        <f t="shared" si="0"/>
        <v>1</v>
      </c>
      <c r="AN10" s="124" t="b">
        <f t="shared" si="0"/>
        <v>1</v>
      </c>
      <c r="AO10" s="124" t="b">
        <f t="shared" si="0"/>
        <v>1</v>
      </c>
      <c r="AP10" s="124" t="b">
        <f t="shared" si="0"/>
        <v>1</v>
      </c>
    </row>
    <row r="11" spans="2:42" ht="68" customHeight="1" thickBot="1">
      <c r="B11" s="116" t="s">
        <v>58</v>
      </c>
      <c r="C11" s="117" t="s">
        <v>62</v>
      </c>
      <c r="D11" s="117" t="s">
        <v>14</v>
      </c>
      <c r="E11" s="117" t="s">
        <v>16</v>
      </c>
      <c r="F11" s="118" t="s">
        <v>13</v>
      </c>
      <c r="G11" s="118" t="s">
        <v>17</v>
      </c>
      <c r="H11" s="117" t="s">
        <v>55</v>
      </c>
      <c r="I11" s="117" t="s">
        <v>56</v>
      </c>
      <c r="J11" s="119" t="s">
        <v>83</v>
      </c>
      <c r="K11" s="120" t="s">
        <v>30</v>
      </c>
      <c r="L11" s="121" t="s">
        <v>31</v>
      </c>
      <c r="M11" s="122" t="s">
        <v>84</v>
      </c>
      <c r="N11" s="123" t="s">
        <v>72</v>
      </c>
      <c r="O11" s="5"/>
      <c r="P11" s="116" t="s">
        <v>58</v>
      </c>
      <c r="Q11" s="117" t="s">
        <v>62</v>
      </c>
      <c r="R11" s="117" t="s">
        <v>14</v>
      </c>
      <c r="S11" s="117" t="s">
        <v>16</v>
      </c>
      <c r="T11" s="118" t="s">
        <v>13</v>
      </c>
      <c r="U11" s="118" t="s">
        <v>17</v>
      </c>
      <c r="V11" s="117" t="s">
        <v>55</v>
      </c>
      <c r="W11" s="117" t="s">
        <v>56</v>
      </c>
      <c r="X11" s="119" t="s">
        <v>59</v>
      </c>
      <c r="Y11" s="120" t="s">
        <v>30</v>
      </c>
      <c r="Z11" s="121" t="s">
        <v>31</v>
      </c>
      <c r="AA11" s="122" t="s">
        <v>60</v>
      </c>
      <c r="AB11" s="123" t="s">
        <v>61</v>
      </c>
      <c r="AD11" s="124" t="b">
        <f t="shared" ref="AD11:AD24" si="1">EXACT(B11,P11)</f>
        <v>1</v>
      </c>
      <c r="AE11" s="124" t="b">
        <f t="shared" ref="AE11:AE24" si="2">EXACT(C11,Q11)</f>
        <v>1</v>
      </c>
      <c r="AF11" s="124" t="b">
        <f t="shared" ref="AF11:AF24" si="3">EXACT(D11,R11)</f>
        <v>1</v>
      </c>
      <c r="AG11" s="124" t="b">
        <f t="shared" ref="AG11:AG24" si="4">EXACT(E11,S11)</f>
        <v>1</v>
      </c>
      <c r="AH11" s="124" t="b">
        <f t="shared" ref="AH11:AH24" si="5">EXACT(F11,T11)</f>
        <v>1</v>
      </c>
      <c r="AI11" s="124" t="b">
        <f t="shared" ref="AI11:AI24" si="6">EXACT(G11,U11)</f>
        <v>1</v>
      </c>
      <c r="AJ11" s="124" t="b">
        <f t="shared" ref="AJ11:AJ24" si="7">EXACT(H11,V11)</f>
        <v>1</v>
      </c>
      <c r="AK11" s="124" t="b">
        <f t="shared" ref="AK11:AK24" si="8">EXACT(I11,W11)</f>
        <v>1</v>
      </c>
      <c r="AL11" s="124" t="b">
        <f t="shared" ref="AL11:AL24" si="9">EXACT(J11,X11)</f>
        <v>0</v>
      </c>
      <c r="AM11" s="124" t="b">
        <f t="shared" ref="AM11:AM24" si="10">EXACT(K11,Y11)</f>
        <v>1</v>
      </c>
      <c r="AN11" s="124" t="b">
        <f t="shared" ref="AN11:AN24" si="11">EXACT(L11,Z11)</f>
        <v>1</v>
      </c>
      <c r="AO11" s="124" t="b">
        <f t="shared" ref="AO11:AO24" si="12">EXACT(M11,AA11)</f>
        <v>0</v>
      </c>
      <c r="AP11" s="124" t="b">
        <f t="shared" ref="AP11:AP24" si="13">EXACT(N11,AB11)</f>
        <v>0</v>
      </c>
    </row>
    <row r="12" spans="2:42"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5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D12" s="124" t="b">
        <f t="shared" si="1"/>
        <v>1</v>
      </c>
      <c r="AE12" s="124" t="b">
        <f t="shared" si="2"/>
        <v>1</v>
      </c>
      <c r="AF12" s="124" t="b">
        <f t="shared" si="3"/>
        <v>1</v>
      </c>
      <c r="AG12" s="124" t="b">
        <f t="shared" si="4"/>
        <v>1</v>
      </c>
      <c r="AH12" s="124" t="b">
        <f t="shared" si="5"/>
        <v>1</v>
      </c>
      <c r="AI12" s="124" t="b">
        <f t="shared" si="6"/>
        <v>1</v>
      </c>
      <c r="AJ12" s="124" t="b">
        <f t="shared" si="7"/>
        <v>1</v>
      </c>
      <c r="AK12" s="124" t="b">
        <f t="shared" si="8"/>
        <v>1</v>
      </c>
      <c r="AL12" s="124" t="b">
        <f t="shared" si="9"/>
        <v>1</v>
      </c>
      <c r="AM12" s="124" t="b">
        <f t="shared" si="10"/>
        <v>1</v>
      </c>
      <c r="AN12" s="124" t="b">
        <f t="shared" si="11"/>
        <v>1</v>
      </c>
      <c r="AO12" s="124" t="b">
        <f t="shared" si="12"/>
        <v>1</v>
      </c>
      <c r="AP12" s="124" t="b">
        <f t="shared" si="13"/>
        <v>1</v>
      </c>
    </row>
    <row r="13" spans="2:42"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5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D13" s="124" t="b">
        <f t="shared" si="1"/>
        <v>1</v>
      </c>
      <c r="AE13" s="124" t="b">
        <f t="shared" si="2"/>
        <v>1</v>
      </c>
      <c r="AF13" s="124" t="b">
        <f t="shared" si="3"/>
        <v>1</v>
      </c>
      <c r="AG13" s="124" t="b">
        <f t="shared" si="4"/>
        <v>1</v>
      </c>
      <c r="AH13" s="124" t="b">
        <f t="shared" si="5"/>
        <v>1</v>
      </c>
      <c r="AI13" s="124" t="b">
        <f t="shared" si="6"/>
        <v>1</v>
      </c>
      <c r="AJ13" s="124" t="b">
        <f t="shared" si="7"/>
        <v>1</v>
      </c>
      <c r="AK13" s="124" t="b">
        <f t="shared" si="8"/>
        <v>1</v>
      </c>
      <c r="AL13" s="124" t="b">
        <f t="shared" si="9"/>
        <v>1</v>
      </c>
      <c r="AM13" s="124" t="b">
        <f t="shared" si="10"/>
        <v>1</v>
      </c>
      <c r="AN13" s="124" t="b">
        <f t="shared" si="11"/>
        <v>1</v>
      </c>
      <c r="AO13" s="124" t="b">
        <f t="shared" si="12"/>
        <v>1</v>
      </c>
      <c r="AP13" s="124" t="b">
        <f t="shared" si="13"/>
        <v>1</v>
      </c>
    </row>
    <row r="14" spans="2:42"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5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D14" s="124" t="b">
        <f t="shared" si="1"/>
        <v>1</v>
      </c>
      <c r="AE14" s="124" t="b">
        <f t="shared" si="2"/>
        <v>1</v>
      </c>
      <c r="AF14" s="124" t="b">
        <f t="shared" si="3"/>
        <v>1</v>
      </c>
      <c r="AG14" s="124" t="b">
        <f t="shared" si="4"/>
        <v>1</v>
      </c>
      <c r="AH14" s="124" t="b">
        <f t="shared" si="5"/>
        <v>1</v>
      </c>
      <c r="AI14" s="124" t="b">
        <f t="shared" si="6"/>
        <v>1</v>
      </c>
      <c r="AJ14" s="124" t="b">
        <f t="shared" si="7"/>
        <v>1</v>
      </c>
      <c r="AK14" s="124" t="b">
        <f t="shared" si="8"/>
        <v>1</v>
      </c>
      <c r="AL14" s="124" t="b">
        <f t="shared" si="9"/>
        <v>1</v>
      </c>
      <c r="AM14" s="124" t="b">
        <f t="shared" si="10"/>
        <v>1</v>
      </c>
      <c r="AN14" s="124" t="b">
        <f t="shared" si="11"/>
        <v>1</v>
      </c>
      <c r="AO14" s="124" t="b">
        <f t="shared" si="12"/>
        <v>1</v>
      </c>
      <c r="AP14" s="124" t="b">
        <f t="shared" si="13"/>
        <v>1</v>
      </c>
    </row>
    <row r="15" spans="2:42"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5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D15" s="124" t="b">
        <f t="shared" si="1"/>
        <v>1</v>
      </c>
      <c r="AE15" s="124" t="b">
        <f t="shared" si="2"/>
        <v>1</v>
      </c>
      <c r="AF15" s="124" t="b">
        <f t="shared" si="3"/>
        <v>1</v>
      </c>
      <c r="AG15" s="124" t="b">
        <f t="shared" si="4"/>
        <v>1</v>
      </c>
      <c r="AH15" s="124" t="b">
        <f t="shared" si="5"/>
        <v>1</v>
      </c>
      <c r="AI15" s="124" t="b">
        <f t="shared" si="6"/>
        <v>1</v>
      </c>
      <c r="AJ15" s="124" t="b">
        <f t="shared" si="7"/>
        <v>1</v>
      </c>
      <c r="AK15" s="124" t="b">
        <f t="shared" si="8"/>
        <v>1</v>
      </c>
      <c r="AL15" s="124" t="b">
        <f t="shared" si="9"/>
        <v>1</v>
      </c>
      <c r="AM15" s="124" t="b">
        <f t="shared" si="10"/>
        <v>1</v>
      </c>
      <c r="AN15" s="124" t="b">
        <f t="shared" si="11"/>
        <v>1</v>
      </c>
      <c r="AO15" s="124" t="b">
        <f t="shared" si="12"/>
        <v>1</v>
      </c>
      <c r="AP15" s="124" t="b">
        <f t="shared" si="13"/>
        <v>1</v>
      </c>
    </row>
    <row r="16" spans="2:42"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5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D16" s="124" t="b">
        <f t="shared" si="1"/>
        <v>1</v>
      </c>
      <c r="AE16" s="124" t="b">
        <f t="shared" si="2"/>
        <v>1</v>
      </c>
      <c r="AF16" s="124" t="b">
        <f t="shared" si="3"/>
        <v>1</v>
      </c>
      <c r="AG16" s="124" t="b">
        <f t="shared" si="4"/>
        <v>1</v>
      </c>
      <c r="AH16" s="124" t="b">
        <f t="shared" si="5"/>
        <v>1</v>
      </c>
      <c r="AI16" s="124" t="b">
        <f t="shared" si="6"/>
        <v>1</v>
      </c>
      <c r="AJ16" s="124" t="b">
        <f t="shared" si="7"/>
        <v>1</v>
      </c>
      <c r="AK16" s="124" t="b">
        <f t="shared" si="8"/>
        <v>1</v>
      </c>
      <c r="AL16" s="124" t="b">
        <f t="shared" si="9"/>
        <v>1</v>
      </c>
      <c r="AM16" s="124" t="b">
        <f t="shared" si="10"/>
        <v>1</v>
      </c>
      <c r="AN16" s="124" t="b">
        <f t="shared" si="11"/>
        <v>1</v>
      </c>
      <c r="AO16" s="124" t="b">
        <f t="shared" si="12"/>
        <v>1</v>
      </c>
      <c r="AP16" s="124" t="b">
        <f t="shared" si="13"/>
        <v>1</v>
      </c>
    </row>
    <row r="17" spans="2:42"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5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D17" s="124" t="b">
        <f t="shared" si="1"/>
        <v>1</v>
      </c>
      <c r="AE17" s="124" t="b">
        <f t="shared" si="2"/>
        <v>1</v>
      </c>
      <c r="AF17" s="124" t="b">
        <f t="shared" si="3"/>
        <v>1</v>
      </c>
      <c r="AG17" s="124" t="b">
        <f t="shared" si="4"/>
        <v>1</v>
      </c>
      <c r="AH17" s="124" t="b">
        <f t="shared" si="5"/>
        <v>1</v>
      </c>
      <c r="AI17" s="124" t="b">
        <f t="shared" si="6"/>
        <v>1</v>
      </c>
      <c r="AJ17" s="124" t="b">
        <f t="shared" si="7"/>
        <v>1</v>
      </c>
      <c r="AK17" s="124" t="b">
        <f t="shared" si="8"/>
        <v>1</v>
      </c>
      <c r="AL17" s="124" t="b">
        <f t="shared" si="9"/>
        <v>1</v>
      </c>
      <c r="AM17" s="124" t="b">
        <f t="shared" si="10"/>
        <v>1</v>
      </c>
      <c r="AN17" s="124" t="b">
        <f t="shared" si="11"/>
        <v>1</v>
      </c>
      <c r="AO17" s="124" t="b">
        <f t="shared" si="12"/>
        <v>1</v>
      </c>
      <c r="AP17" s="124" t="b">
        <f t="shared" si="13"/>
        <v>1</v>
      </c>
    </row>
    <row r="18" spans="2:42"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5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D18" s="124" t="b">
        <f t="shared" si="1"/>
        <v>1</v>
      </c>
      <c r="AE18" s="124" t="b">
        <f t="shared" si="2"/>
        <v>1</v>
      </c>
      <c r="AF18" s="124" t="b">
        <f t="shared" si="3"/>
        <v>1</v>
      </c>
      <c r="AG18" s="124" t="b">
        <f t="shared" si="4"/>
        <v>1</v>
      </c>
      <c r="AH18" s="124" t="b">
        <f t="shared" si="5"/>
        <v>1</v>
      </c>
      <c r="AI18" s="124" t="b">
        <f t="shared" si="6"/>
        <v>1</v>
      </c>
      <c r="AJ18" s="124" t="b">
        <f t="shared" si="7"/>
        <v>1</v>
      </c>
      <c r="AK18" s="124" t="b">
        <f t="shared" si="8"/>
        <v>1</v>
      </c>
      <c r="AL18" s="124" t="b">
        <f t="shared" si="9"/>
        <v>1</v>
      </c>
      <c r="AM18" s="124" t="b">
        <f t="shared" si="10"/>
        <v>1</v>
      </c>
      <c r="AN18" s="124" t="b">
        <f t="shared" si="11"/>
        <v>1</v>
      </c>
      <c r="AO18" s="124" t="b">
        <f t="shared" si="12"/>
        <v>1</v>
      </c>
      <c r="AP18" s="124" t="b">
        <f t="shared" si="13"/>
        <v>1</v>
      </c>
    </row>
    <row r="19" spans="2:42"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5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D19" s="124" t="b">
        <f t="shared" si="1"/>
        <v>1</v>
      </c>
      <c r="AE19" s="124" t="b">
        <f t="shared" si="2"/>
        <v>1</v>
      </c>
      <c r="AF19" s="124" t="b">
        <f t="shared" si="3"/>
        <v>1</v>
      </c>
      <c r="AG19" s="124" t="b">
        <f t="shared" si="4"/>
        <v>1</v>
      </c>
      <c r="AH19" s="124" t="b">
        <f t="shared" si="5"/>
        <v>1</v>
      </c>
      <c r="AI19" s="124" t="b">
        <f t="shared" si="6"/>
        <v>1</v>
      </c>
      <c r="AJ19" s="124" t="b">
        <f t="shared" si="7"/>
        <v>1</v>
      </c>
      <c r="AK19" s="124" t="b">
        <f t="shared" si="8"/>
        <v>1</v>
      </c>
      <c r="AL19" s="124" t="b">
        <f t="shared" si="9"/>
        <v>1</v>
      </c>
      <c r="AM19" s="124" t="b">
        <f t="shared" si="10"/>
        <v>1</v>
      </c>
      <c r="AN19" s="124" t="b">
        <f t="shared" si="11"/>
        <v>1</v>
      </c>
      <c r="AO19" s="124" t="b">
        <f t="shared" si="12"/>
        <v>1</v>
      </c>
      <c r="AP19" s="124" t="b">
        <f t="shared" si="13"/>
        <v>1</v>
      </c>
    </row>
    <row r="20" spans="2:42"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5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D20" s="124" t="b">
        <f t="shared" si="1"/>
        <v>1</v>
      </c>
      <c r="AE20" s="124" t="b">
        <f t="shared" si="2"/>
        <v>1</v>
      </c>
      <c r="AF20" s="124" t="b">
        <f t="shared" si="3"/>
        <v>1</v>
      </c>
      <c r="AG20" s="124" t="b">
        <f t="shared" si="4"/>
        <v>1</v>
      </c>
      <c r="AH20" s="124" t="b">
        <f t="shared" si="5"/>
        <v>1</v>
      </c>
      <c r="AI20" s="124" t="b">
        <f t="shared" si="6"/>
        <v>1</v>
      </c>
      <c r="AJ20" s="124" t="b">
        <f t="shared" si="7"/>
        <v>1</v>
      </c>
      <c r="AK20" s="124" t="b">
        <f t="shared" si="8"/>
        <v>1</v>
      </c>
      <c r="AL20" s="124" t="b">
        <f t="shared" si="9"/>
        <v>1</v>
      </c>
      <c r="AM20" s="124" t="b">
        <f t="shared" si="10"/>
        <v>1</v>
      </c>
      <c r="AN20" s="124" t="b">
        <f t="shared" si="11"/>
        <v>1</v>
      </c>
      <c r="AO20" s="124" t="b">
        <f t="shared" si="12"/>
        <v>1</v>
      </c>
      <c r="AP20" s="124" t="b">
        <f t="shared" si="13"/>
        <v>1</v>
      </c>
    </row>
    <row r="21" spans="2:42"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5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D21" s="124" t="b">
        <f t="shared" si="1"/>
        <v>1</v>
      </c>
      <c r="AE21" s="124" t="b">
        <f t="shared" si="2"/>
        <v>1</v>
      </c>
      <c r="AF21" s="124" t="b">
        <f t="shared" si="3"/>
        <v>1</v>
      </c>
      <c r="AG21" s="124" t="b">
        <f t="shared" si="4"/>
        <v>1</v>
      </c>
      <c r="AH21" s="124" t="b">
        <f t="shared" si="5"/>
        <v>1</v>
      </c>
      <c r="AI21" s="124" t="b">
        <f t="shared" si="6"/>
        <v>1</v>
      </c>
      <c r="AJ21" s="124" t="b">
        <f t="shared" si="7"/>
        <v>1</v>
      </c>
      <c r="AK21" s="124" t="b">
        <f t="shared" si="8"/>
        <v>1</v>
      </c>
      <c r="AL21" s="124" t="b">
        <f t="shared" si="9"/>
        <v>1</v>
      </c>
      <c r="AM21" s="124" t="b">
        <f t="shared" si="10"/>
        <v>1</v>
      </c>
      <c r="AN21" s="124" t="b">
        <f t="shared" si="11"/>
        <v>1</v>
      </c>
      <c r="AO21" s="124" t="b">
        <f t="shared" si="12"/>
        <v>1</v>
      </c>
      <c r="AP21" s="124" t="b">
        <f t="shared" si="13"/>
        <v>1</v>
      </c>
    </row>
    <row r="22" spans="2:42"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5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D22" s="124" t="b">
        <f t="shared" si="1"/>
        <v>1</v>
      </c>
      <c r="AE22" s="124" t="b">
        <f t="shared" si="2"/>
        <v>1</v>
      </c>
      <c r="AF22" s="124" t="b">
        <f t="shared" si="3"/>
        <v>1</v>
      </c>
      <c r="AG22" s="124" t="b">
        <f t="shared" si="4"/>
        <v>1</v>
      </c>
      <c r="AH22" s="124" t="b">
        <f t="shared" si="5"/>
        <v>1</v>
      </c>
      <c r="AI22" s="124" t="b">
        <f t="shared" si="6"/>
        <v>1</v>
      </c>
      <c r="AJ22" s="124" t="b">
        <f t="shared" si="7"/>
        <v>1</v>
      </c>
      <c r="AK22" s="124" t="b">
        <f t="shared" si="8"/>
        <v>1</v>
      </c>
      <c r="AL22" s="124" t="b">
        <f t="shared" si="9"/>
        <v>1</v>
      </c>
      <c r="AM22" s="124" t="b">
        <f t="shared" si="10"/>
        <v>1</v>
      </c>
      <c r="AN22" s="124" t="b">
        <f t="shared" si="11"/>
        <v>1</v>
      </c>
      <c r="AO22" s="124" t="b">
        <f t="shared" si="12"/>
        <v>1</v>
      </c>
      <c r="AP22" s="124" t="b">
        <f t="shared" si="13"/>
        <v>1</v>
      </c>
    </row>
    <row r="23" spans="2:42"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5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D23" s="124" t="b">
        <f t="shared" si="1"/>
        <v>1</v>
      </c>
      <c r="AE23" s="124" t="b">
        <f t="shared" si="2"/>
        <v>1</v>
      </c>
      <c r="AF23" s="124" t="b">
        <f t="shared" si="3"/>
        <v>1</v>
      </c>
      <c r="AG23" s="124" t="b">
        <f t="shared" si="4"/>
        <v>1</v>
      </c>
      <c r="AH23" s="124" t="b">
        <f t="shared" si="5"/>
        <v>1</v>
      </c>
      <c r="AI23" s="124" t="b">
        <f t="shared" si="6"/>
        <v>1</v>
      </c>
      <c r="AJ23" s="124" t="b">
        <f t="shared" si="7"/>
        <v>1</v>
      </c>
      <c r="AK23" s="124" t="b">
        <f t="shared" si="8"/>
        <v>1</v>
      </c>
      <c r="AL23" s="124" t="b">
        <f t="shared" si="9"/>
        <v>1</v>
      </c>
      <c r="AM23" s="124" t="b">
        <f t="shared" si="10"/>
        <v>1</v>
      </c>
      <c r="AN23" s="124" t="b">
        <f t="shared" si="11"/>
        <v>1</v>
      </c>
      <c r="AO23" s="124" t="b">
        <f t="shared" si="12"/>
        <v>1</v>
      </c>
      <c r="AP23" s="124" t="b">
        <f t="shared" si="13"/>
        <v>1</v>
      </c>
    </row>
    <row r="24" spans="2:42"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5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D24" s="124" t="b">
        <f t="shared" si="1"/>
        <v>1</v>
      </c>
      <c r="AE24" s="124" t="b">
        <f t="shared" si="2"/>
        <v>1</v>
      </c>
      <c r="AF24" s="124" t="b">
        <f t="shared" si="3"/>
        <v>1</v>
      </c>
      <c r="AG24" s="124" t="b">
        <f t="shared" si="4"/>
        <v>1</v>
      </c>
      <c r="AH24" s="124" t="b">
        <f t="shared" si="5"/>
        <v>1</v>
      </c>
      <c r="AI24" s="124" t="b">
        <f t="shared" si="6"/>
        <v>1</v>
      </c>
      <c r="AJ24" s="124" t="b">
        <f t="shared" si="7"/>
        <v>1</v>
      </c>
      <c r="AK24" s="124" t="b">
        <f t="shared" si="8"/>
        <v>1</v>
      </c>
      <c r="AL24" s="124" t="b">
        <f t="shared" si="9"/>
        <v>1</v>
      </c>
      <c r="AM24" s="124" t="b">
        <f t="shared" si="10"/>
        <v>1</v>
      </c>
      <c r="AN24" s="124" t="b">
        <f t="shared" si="11"/>
        <v>1</v>
      </c>
      <c r="AO24" s="124" t="b">
        <f t="shared" si="12"/>
        <v>1</v>
      </c>
      <c r="AP24" s="124" t="b">
        <f t="shared" si="13"/>
        <v>1</v>
      </c>
    </row>
  </sheetData>
  <mergeCells count="2">
    <mergeCell ref="K10:L10"/>
    <mergeCell ref="Y10:Z10"/>
  </mergeCells>
  <phoneticPr fontId="2"/>
  <conditionalFormatting sqref="AD10:AP24">
    <cfRule type="cellIs" dxfId="5" priority="1" operator="equal">
      <formula>FALSE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2FCD8-4522-4A41-BB64-DAB00E394D49}">
  <sheetPr codeName="Sheet12"/>
  <dimension ref="D2:L20"/>
  <sheetViews>
    <sheetView zoomScale="85" zoomScaleNormal="85" workbookViewId="0">
      <selection activeCell="J11" sqref="J11"/>
    </sheetView>
  </sheetViews>
  <sheetFormatPr defaultRowHeight="18"/>
  <cols>
    <col min="10" max="10" width="26.58203125" customWidth="1"/>
  </cols>
  <sheetData>
    <row r="2" spans="4:12">
      <c r="D2" t="s">
        <v>74</v>
      </c>
    </row>
    <row r="3" spans="4:12">
      <c r="D3" s="24" t="s">
        <v>63</v>
      </c>
    </row>
    <row r="4" spans="4:12">
      <c r="D4" s="24" t="s">
        <v>64</v>
      </c>
    </row>
    <row r="5" spans="4:12">
      <c r="D5" t="s">
        <v>75</v>
      </c>
    </row>
    <row r="7" spans="4:12">
      <c r="D7" t="s">
        <v>76</v>
      </c>
    </row>
    <row r="8" spans="4:12" ht="18.5" thickBot="1"/>
    <row r="9" spans="4:12" ht="35.5" customHeight="1" thickBot="1">
      <c r="J9" s="125" t="s">
        <v>71</v>
      </c>
    </row>
    <row r="10" spans="4:12" ht="46.5" thickBot="1">
      <c r="D10" s="129" t="s">
        <v>12</v>
      </c>
      <c r="E10" s="128" t="s">
        <v>70</v>
      </c>
      <c r="F10" s="127" t="s">
        <v>72</v>
      </c>
      <c r="G10" s="127" t="s">
        <v>60</v>
      </c>
      <c r="H10" s="127" t="s">
        <v>61</v>
      </c>
      <c r="I10" s="127" t="s">
        <v>73</v>
      </c>
      <c r="J10" s="131" t="s">
        <v>31</v>
      </c>
    </row>
    <row r="11" spans="4:12">
      <c r="D11" s="102" t="s">
        <v>65</v>
      </c>
      <c r="E11" s="43">
        <v>16.59</v>
      </c>
      <c r="F11" s="126">
        <v>17.39</v>
      </c>
      <c r="G11" s="126">
        <v>40.89</v>
      </c>
      <c r="H11" s="126">
        <v>58.02</v>
      </c>
      <c r="I11" s="126">
        <v>35.44</v>
      </c>
      <c r="J11" s="132">
        <f>720-SUM(E11:I11)</f>
        <v>551.66999999999996</v>
      </c>
      <c r="L11" s="130"/>
    </row>
    <row r="12" spans="4:12">
      <c r="D12" s="102" t="s">
        <v>66</v>
      </c>
      <c r="E12" s="43">
        <v>13.24</v>
      </c>
      <c r="F12" s="126">
        <v>13.65</v>
      </c>
      <c r="G12" s="126">
        <v>23.38</v>
      </c>
      <c r="H12" s="126">
        <v>54.47</v>
      </c>
      <c r="I12" s="126">
        <v>35.22</v>
      </c>
      <c r="J12" s="132">
        <f t="shared" ref="J12:J20" si="0">720-SUM(E12:I12)</f>
        <v>580.04</v>
      </c>
      <c r="L12" s="130"/>
    </row>
    <row r="13" spans="4:12">
      <c r="D13" s="102" t="s">
        <v>67</v>
      </c>
      <c r="E13" s="43">
        <v>11.84</v>
      </c>
      <c r="F13" s="126">
        <v>15.9</v>
      </c>
      <c r="G13" s="126">
        <v>44.48</v>
      </c>
      <c r="H13" s="126">
        <v>53.1</v>
      </c>
      <c r="I13" s="126">
        <v>18.899999999999999</v>
      </c>
      <c r="J13" s="132">
        <f t="shared" si="0"/>
        <v>575.78</v>
      </c>
      <c r="L13" s="130"/>
    </row>
    <row r="14" spans="4:12">
      <c r="D14" s="102" t="s">
        <v>68</v>
      </c>
      <c r="E14" s="43">
        <v>0</v>
      </c>
      <c r="F14" s="126">
        <v>0</v>
      </c>
      <c r="G14" s="126">
        <v>0</v>
      </c>
      <c r="H14" s="126">
        <v>46.74</v>
      </c>
      <c r="I14" s="126">
        <v>15.93</v>
      </c>
      <c r="J14" s="132">
        <f t="shared" si="0"/>
        <v>657.33</v>
      </c>
      <c r="L14" s="130"/>
    </row>
    <row r="15" spans="4:12">
      <c r="D15" s="102" t="s">
        <v>69</v>
      </c>
      <c r="E15" s="43">
        <v>12.76</v>
      </c>
      <c r="F15" s="126">
        <v>9.6199999999999992</v>
      </c>
      <c r="G15" s="126">
        <v>9.66</v>
      </c>
      <c r="H15" s="126">
        <v>51.03</v>
      </c>
      <c r="I15" s="126">
        <v>28.71</v>
      </c>
      <c r="J15" s="132">
        <f t="shared" si="0"/>
        <v>608.22</v>
      </c>
      <c r="L15" s="130"/>
    </row>
    <row r="16" spans="4:12">
      <c r="D16" s="124"/>
      <c r="E16" s="124"/>
      <c r="F16" s="124"/>
      <c r="G16" s="124"/>
      <c r="H16" s="124"/>
      <c r="I16" s="124"/>
      <c r="J16" s="132">
        <f t="shared" si="0"/>
        <v>720</v>
      </c>
    </row>
    <row r="17" spans="4:10">
      <c r="D17" s="124"/>
      <c r="E17" s="124"/>
      <c r="F17" s="124"/>
      <c r="G17" s="124"/>
      <c r="H17" s="124"/>
      <c r="I17" s="124"/>
      <c r="J17" s="132">
        <f t="shared" si="0"/>
        <v>720</v>
      </c>
    </row>
    <row r="18" spans="4:10">
      <c r="D18" s="124"/>
      <c r="E18" s="124"/>
      <c r="F18" s="124"/>
      <c r="G18" s="124"/>
      <c r="H18" s="124"/>
      <c r="I18" s="124"/>
      <c r="J18" s="132">
        <f t="shared" si="0"/>
        <v>720</v>
      </c>
    </row>
    <row r="19" spans="4:10">
      <c r="D19" s="124"/>
      <c r="E19" s="124"/>
      <c r="F19" s="124"/>
      <c r="G19" s="124"/>
      <c r="H19" s="124"/>
      <c r="I19" s="124"/>
      <c r="J19" s="132">
        <f t="shared" si="0"/>
        <v>720</v>
      </c>
    </row>
    <row r="20" spans="4:10">
      <c r="D20" s="124"/>
      <c r="E20" s="124"/>
      <c r="F20" s="124"/>
      <c r="G20" s="124"/>
      <c r="H20" s="124"/>
      <c r="I20" s="124"/>
      <c r="J20" s="132">
        <f t="shared" si="0"/>
        <v>720</v>
      </c>
    </row>
  </sheetData>
  <phoneticPr fontId="2"/>
  <conditionalFormatting sqref="E11:E15">
    <cfRule type="cellIs" dxfId="4" priority="3" operator="equal">
      <formula>"-"</formula>
    </cfRule>
    <cfRule type="cellIs" dxfId="3" priority="4" stopIfTrue="1" operator="greaterThan">
      <formula>45</formula>
    </cfRule>
  </conditionalFormatting>
  <conditionalFormatting sqref="F11:I15">
    <cfRule type="cellIs" dxfId="2" priority="2" stopIfTrue="1" operator="greaterThan">
      <formula>45</formula>
    </cfRule>
  </conditionalFormatting>
  <conditionalFormatting sqref="F11:I15">
    <cfRule type="cellIs" dxfId="1" priority="1" operator="equal">
      <formula>"-"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35B8-0F58-4899-A3B7-19F3D02D9C09}">
  <sheetPr codeName="Sheet6"/>
  <dimension ref="B2:AI44"/>
  <sheetViews>
    <sheetView zoomScale="80" zoomScaleNormal="80" workbookViewId="0">
      <selection activeCell="A2" sqref="A2"/>
    </sheetView>
  </sheetViews>
  <sheetFormatPr defaultColWidth="8.58203125" defaultRowHeight="14.15" customHeight="1"/>
  <cols>
    <col min="1" max="1" width="5.58203125" style="5" customWidth="1"/>
    <col min="2" max="2" width="23.58203125" style="5" customWidth="1"/>
    <col min="3" max="12" width="9.58203125" style="5" customWidth="1"/>
    <col min="13" max="16384" width="8.58203125" style="5"/>
  </cols>
  <sheetData>
    <row r="2" spans="2:35" ht="14.15" customHeight="1">
      <c r="B2" s="23" t="s">
        <v>41</v>
      </c>
      <c r="J2" s="45" t="s">
        <v>25</v>
      </c>
      <c r="K2" s="45"/>
      <c r="L2" s="45"/>
    </row>
    <row r="3" spans="2:35" ht="14.15" customHeight="1">
      <c r="B3" s="4" t="s">
        <v>18</v>
      </c>
      <c r="J3" s="45" t="s">
        <v>33</v>
      </c>
      <c r="K3" s="45"/>
      <c r="L3" s="45"/>
    </row>
    <row r="4" spans="2:35" ht="14.15" customHeight="1">
      <c r="B4" s="4"/>
      <c r="J4" s="46" t="s">
        <v>37</v>
      </c>
      <c r="K4" s="45"/>
      <c r="L4" s="45"/>
    </row>
    <row r="5" spans="2:35" ht="14.15" customHeight="1">
      <c r="B5" s="4"/>
      <c r="J5" s="32"/>
    </row>
    <row r="6" spans="2:35" ht="14.15" customHeight="1">
      <c r="B6" s="4"/>
    </row>
    <row r="7" spans="2:35" ht="14.15" customHeight="1">
      <c r="B7" s="24" t="s">
        <v>40</v>
      </c>
    </row>
    <row r="8" spans="2:35" ht="14.15" customHeight="1" thickBot="1">
      <c r="N8" s="18" t="s">
        <v>10</v>
      </c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</row>
    <row r="9" spans="2:35" ht="14.15" customHeight="1">
      <c r="B9" s="76"/>
      <c r="C9" s="148" t="s">
        <v>11</v>
      </c>
      <c r="D9" s="149"/>
      <c r="E9" s="149"/>
      <c r="F9" s="149"/>
      <c r="G9" s="150"/>
      <c r="H9" s="151" t="s">
        <v>19</v>
      </c>
      <c r="I9" s="152"/>
      <c r="J9" s="152"/>
      <c r="K9" s="152"/>
      <c r="L9" s="153"/>
    </row>
    <row r="10" spans="2:35" ht="14.15" customHeight="1">
      <c r="B10" s="77"/>
      <c r="C10" s="154" t="s">
        <v>34</v>
      </c>
      <c r="D10" s="155"/>
      <c r="E10" s="155"/>
      <c r="F10" s="155"/>
      <c r="G10" s="156"/>
      <c r="H10" s="154" t="s">
        <v>34</v>
      </c>
      <c r="I10" s="155"/>
      <c r="J10" s="155"/>
      <c r="K10" s="155"/>
      <c r="L10" s="156"/>
      <c r="O10" s="145" t="s">
        <v>36</v>
      </c>
      <c r="P10" s="146"/>
      <c r="Q10" s="146"/>
      <c r="R10" s="146"/>
      <c r="S10" s="147"/>
      <c r="T10" s="145" t="s">
        <v>36</v>
      </c>
      <c r="U10" s="146"/>
      <c r="V10" s="146"/>
      <c r="W10" s="146"/>
      <c r="X10" s="147"/>
      <c r="Z10" s="5" t="b">
        <f>EXACT(O10,C10)</f>
        <v>1</v>
      </c>
      <c r="AE10" s="5" t="b">
        <f>EXACT(T10,H10)</f>
        <v>1</v>
      </c>
    </row>
    <row r="11" spans="2:35" ht="14.15" customHeight="1">
      <c r="B11" s="78"/>
      <c r="C11" s="79" t="s">
        <v>20</v>
      </c>
      <c r="D11" s="80" t="s">
        <v>15</v>
      </c>
      <c r="E11" s="81" t="s">
        <v>21</v>
      </c>
      <c r="F11" s="81" t="s">
        <v>22</v>
      </c>
      <c r="G11" s="82" t="s">
        <v>23</v>
      </c>
      <c r="H11" s="83" t="s">
        <v>20</v>
      </c>
      <c r="I11" s="80" t="s">
        <v>15</v>
      </c>
      <c r="J11" s="84" t="s">
        <v>21</v>
      </c>
      <c r="K11" s="84" t="s">
        <v>22</v>
      </c>
      <c r="L11" s="82" t="s">
        <v>23</v>
      </c>
      <c r="N11" s="29"/>
      <c r="O11" s="7" t="s">
        <v>20</v>
      </c>
      <c r="P11" s="8" t="s">
        <v>15</v>
      </c>
      <c r="Q11" s="9" t="s">
        <v>21</v>
      </c>
      <c r="R11" s="9" t="s">
        <v>22</v>
      </c>
      <c r="S11" s="10" t="s">
        <v>23</v>
      </c>
      <c r="T11" s="6" t="s">
        <v>20</v>
      </c>
      <c r="U11" s="8" t="s">
        <v>15</v>
      </c>
      <c r="V11" s="12" t="s">
        <v>21</v>
      </c>
      <c r="W11" s="12" t="s">
        <v>22</v>
      </c>
      <c r="X11" s="10" t="s">
        <v>23</v>
      </c>
      <c r="Y11" s="3"/>
      <c r="Z11" s="7" t="s">
        <v>20</v>
      </c>
      <c r="AA11" s="8" t="s">
        <v>15</v>
      </c>
      <c r="AB11" s="9" t="s">
        <v>21</v>
      </c>
      <c r="AC11" s="9" t="s">
        <v>22</v>
      </c>
      <c r="AD11" s="10" t="s">
        <v>24</v>
      </c>
      <c r="AE11" s="11" t="s">
        <v>20</v>
      </c>
      <c r="AF11" s="8" t="s">
        <v>15</v>
      </c>
      <c r="AG11" s="12" t="s">
        <v>21</v>
      </c>
      <c r="AH11" s="12" t="s">
        <v>22</v>
      </c>
      <c r="AI11" s="10" t="s">
        <v>24</v>
      </c>
    </row>
    <row r="12" spans="2:35" ht="14.15" customHeight="1">
      <c r="B12" s="1"/>
      <c r="C12" s="58"/>
      <c r="D12" s="59"/>
      <c r="E12" s="57"/>
      <c r="F12" s="57"/>
      <c r="G12" s="60"/>
      <c r="H12" s="61"/>
      <c r="I12" s="62"/>
      <c r="J12" s="63"/>
      <c r="K12" s="63"/>
      <c r="L12" s="64"/>
      <c r="N12" s="1"/>
      <c r="O12" s="26"/>
      <c r="P12" s="27"/>
      <c r="Q12" s="25"/>
      <c r="R12" s="25"/>
      <c r="S12" s="28"/>
      <c r="T12" s="16"/>
      <c r="U12" s="13"/>
      <c r="V12" s="14"/>
      <c r="W12" s="14"/>
      <c r="X12" s="15"/>
      <c r="Y12" s="5" t="b">
        <f t="shared" ref="Y12:Y44" si="0">EXACT(N12,B12)</f>
        <v>1</v>
      </c>
      <c r="Z12" s="5" t="b">
        <f t="shared" ref="Z12:Z40" si="1">EXACT(O12,C12)</f>
        <v>1</v>
      </c>
      <c r="AA12" s="5" t="b">
        <f t="shared" ref="AA12:AA40" si="2">EXACT(P12,D12)</f>
        <v>1</v>
      </c>
      <c r="AB12" s="5" t="b">
        <f t="shared" ref="AB12:AB40" si="3">EXACT(Q12,E12)</f>
        <v>1</v>
      </c>
      <c r="AC12" s="5" t="b">
        <f t="shared" ref="AC12:AC40" si="4">EXACT(R12,F12)</f>
        <v>1</v>
      </c>
      <c r="AD12" s="5" t="b">
        <f t="shared" ref="AD12:AD40" si="5">EXACT(S12,G12)</f>
        <v>1</v>
      </c>
      <c r="AE12" s="5" t="b">
        <f t="shared" ref="AE12:AI27" si="6">EXACT(T12,H12)</f>
        <v>1</v>
      </c>
      <c r="AF12" s="5" t="b">
        <f t="shared" si="6"/>
        <v>1</v>
      </c>
      <c r="AG12" s="5" t="b">
        <f t="shared" si="6"/>
        <v>1</v>
      </c>
      <c r="AH12" s="5" t="b">
        <f t="shared" si="6"/>
        <v>1</v>
      </c>
      <c r="AI12" s="5" t="b">
        <f t="shared" si="6"/>
        <v>1</v>
      </c>
    </row>
    <row r="13" spans="2:35" ht="14.15" customHeight="1">
      <c r="B13" s="1"/>
      <c r="C13" s="58"/>
      <c r="D13" s="59"/>
      <c r="E13" s="57"/>
      <c r="F13" s="57"/>
      <c r="G13" s="60"/>
      <c r="H13" s="61"/>
      <c r="I13" s="62"/>
      <c r="J13" s="63"/>
      <c r="K13" s="63"/>
      <c r="L13" s="64"/>
      <c r="N13" s="1"/>
      <c r="O13" s="26"/>
      <c r="P13" s="27"/>
      <c r="Q13" s="25"/>
      <c r="R13" s="25"/>
      <c r="S13" s="28"/>
      <c r="T13" s="16"/>
      <c r="U13" s="13"/>
      <c r="V13" s="14"/>
      <c r="W13" s="14"/>
      <c r="X13" s="15"/>
      <c r="Y13" s="5" t="b">
        <f t="shared" si="0"/>
        <v>1</v>
      </c>
      <c r="Z13" s="5" t="b">
        <f t="shared" si="1"/>
        <v>1</v>
      </c>
      <c r="AA13" s="5" t="b">
        <f t="shared" si="2"/>
        <v>1</v>
      </c>
      <c r="AB13" s="5" t="b">
        <f t="shared" si="3"/>
        <v>1</v>
      </c>
      <c r="AC13" s="5" t="b">
        <f t="shared" si="4"/>
        <v>1</v>
      </c>
      <c r="AD13" s="5" t="b">
        <f t="shared" si="5"/>
        <v>1</v>
      </c>
      <c r="AE13" s="5" t="b">
        <f t="shared" si="6"/>
        <v>1</v>
      </c>
      <c r="AF13" s="5" t="b">
        <f t="shared" si="6"/>
        <v>1</v>
      </c>
      <c r="AG13" s="5" t="b">
        <f t="shared" si="6"/>
        <v>1</v>
      </c>
      <c r="AH13" s="5" t="b">
        <f t="shared" si="6"/>
        <v>1</v>
      </c>
      <c r="AI13" s="5" t="b">
        <f t="shared" si="6"/>
        <v>1</v>
      </c>
    </row>
    <row r="14" spans="2:35" ht="14.15" customHeight="1">
      <c r="B14" s="1"/>
      <c r="C14" s="58"/>
      <c r="D14" s="59"/>
      <c r="E14" s="57"/>
      <c r="F14" s="57"/>
      <c r="G14" s="60"/>
      <c r="H14" s="65"/>
      <c r="I14" s="66"/>
      <c r="J14" s="67"/>
      <c r="K14" s="67"/>
      <c r="L14" s="68"/>
      <c r="N14" s="1"/>
      <c r="O14" s="26"/>
      <c r="P14" s="27"/>
      <c r="Q14" s="25"/>
      <c r="R14" s="25"/>
      <c r="S14" s="28"/>
      <c r="T14" s="16"/>
      <c r="U14" s="13"/>
      <c r="V14" s="14"/>
      <c r="W14" s="14"/>
      <c r="X14" s="15"/>
      <c r="Y14" s="5" t="b">
        <f t="shared" si="0"/>
        <v>1</v>
      </c>
      <c r="Z14" s="5" t="b">
        <f t="shared" si="1"/>
        <v>1</v>
      </c>
      <c r="AA14" s="5" t="b">
        <f t="shared" si="2"/>
        <v>1</v>
      </c>
      <c r="AB14" s="5" t="b">
        <f t="shared" si="3"/>
        <v>1</v>
      </c>
      <c r="AC14" s="5" t="b">
        <f t="shared" si="4"/>
        <v>1</v>
      </c>
      <c r="AD14" s="5" t="b">
        <f t="shared" si="5"/>
        <v>1</v>
      </c>
      <c r="AE14" s="5" t="b">
        <f t="shared" si="6"/>
        <v>1</v>
      </c>
      <c r="AF14" s="5" t="b">
        <f t="shared" si="6"/>
        <v>1</v>
      </c>
      <c r="AG14" s="5" t="b">
        <f t="shared" si="6"/>
        <v>1</v>
      </c>
      <c r="AH14" s="5" t="b">
        <f t="shared" si="6"/>
        <v>1</v>
      </c>
      <c r="AI14" s="5" t="b">
        <f t="shared" si="6"/>
        <v>1</v>
      </c>
    </row>
    <row r="15" spans="2:35" ht="14.15" customHeight="1">
      <c r="B15" s="1"/>
      <c r="C15" s="58"/>
      <c r="D15" s="59"/>
      <c r="E15" s="57"/>
      <c r="F15" s="57"/>
      <c r="G15" s="60"/>
      <c r="H15" s="65"/>
      <c r="I15" s="66"/>
      <c r="J15" s="67"/>
      <c r="K15" s="67"/>
      <c r="L15" s="68"/>
      <c r="N15" s="30"/>
      <c r="O15" s="26"/>
      <c r="P15" s="27"/>
      <c r="Q15" s="25"/>
      <c r="R15" s="25"/>
      <c r="S15" s="28"/>
      <c r="T15" s="16"/>
      <c r="U15" s="13"/>
      <c r="V15" s="14"/>
      <c r="W15" s="14"/>
      <c r="X15" s="15"/>
      <c r="Y15" s="5" t="b">
        <f t="shared" si="0"/>
        <v>1</v>
      </c>
      <c r="Z15" s="5" t="b">
        <f t="shared" si="1"/>
        <v>1</v>
      </c>
      <c r="AA15" s="5" t="b">
        <f t="shared" si="2"/>
        <v>1</v>
      </c>
      <c r="AB15" s="5" t="b">
        <f t="shared" si="3"/>
        <v>1</v>
      </c>
      <c r="AC15" s="5" t="b">
        <f t="shared" si="4"/>
        <v>1</v>
      </c>
      <c r="AD15" s="5" t="b">
        <f t="shared" si="5"/>
        <v>1</v>
      </c>
      <c r="AE15" s="5" t="b">
        <f t="shared" si="6"/>
        <v>1</v>
      </c>
      <c r="AF15" s="5" t="b">
        <f t="shared" si="6"/>
        <v>1</v>
      </c>
      <c r="AG15" s="5" t="b">
        <f t="shared" si="6"/>
        <v>1</v>
      </c>
      <c r="AH15" s="5" t="b">
        <f t="shared" si="6"/>
        <v>1</v>
      </c>
      <c r="AI15" s="5" t="b">
        <f t="shared" si="6"/>
        <v>1</v>
      </c>
    </row>
    <row r="16" spans="2:35" ht="14.15" customHeight="1">
      <c r="B16" s="1"/>
      <c r="C16" s="58"/>
      <c r="D16" s="59"/>
      <c r="E16" s="57"/>
      <c r="F16" s="57"/>
      <c r="G16" s="60"/>
      <c r="H16" s="65"/>
      <c r="I16" s="66"/>
      <c r="J16" s="67"/>
      <c r="K16" s="67"/>
      <c r="L16" s="68"/>
      <c r="N16" s="1"/>
      <c r="O16" s="26"/>
      <c r="P16" s="27"/>
      <c r="Q16" s="25"/>
      <c r="R16" s="25"/>
      <c r="S16" s="28"/>
      <c r="T16" s="16"/>
      <c r="U16" s="13"/>
      <c r="V16" s="14"/>
      <c r="W16" s="14"/>
      <c r="X16" s="15"/>
      <c r="Y16" s="5" t="b">
        <f t="shared" si="0"/>
        <v>1</v>
      </c>
      <c r="Z16" s="5" t="b">
        <f t="shared" si="1"/>
        <v>1</v>
      </c>
      <c r="AA16" s="5" t="b">
        <f t="shared" si="2"/>
        <v>1</v>
      </c>
      <c r="AB16" s="5" t="b">
        <f t="shared" si="3"/>
        <v>1</v>
      </c>
      <c r="AC16" s="5" t="b">
        <f t="shared" si="4"/>
        <v>1</v>
      </c>
      <c r="AD16" s="5" t="b">
        <f t="shared" si="5"/>
        <v>1</v>
      </c>
      <c r="AE16" s="5" t="b">
        <f t="shared" si="6"/>
        <v>1</v>
      </c>
      <c r="AF16" s="5" t="b">
        <f t="shared" si="6"/>
        <v>1</v>
      </c>
      <c r="AG16" s="5" t="b">
        <f t="shared" si="6"/>
        <v>1</v>
      </c>
      <c r="AH16" s="5" t="b">
        <f t="shared" si="6"/>
        <v>1</v>
      </c>
      <c r="AI16" s="5" t="b">
        <f t="shared" si="6"/>
        <v>1</v>
      </c>
    </row>
    <row r="17" spans="2:35" ht="14.15" customHeight="1">
      <c r="B17" s="1"/>
      <c r="C17" s="58"/>
      <c r="D17" s="59"/>
      <c r="E17" s="57"/>
      <c r="F17" s="57"/>
      <c r="G17" s="60"/>
      <c r="H17" s="65"/>
      <c r="I17" s="66"/>
      <c r="J17" s="67"/>
      <c r="K17" s="67"/>
      <c r="L17" s="68"/>
      <c r="N17" s="1"/>
      <c r="O17" s="26"/>
      <c r="P17" s="27"/>
      <c r="Q17" s="25"/>
      <c r="R17" s="25"/>
      <c r="S17" s="28"/>
      <c r="T17" s="16"/>
      <c r="U17" s="13"/>
      <c r="V17" s="14"/>
      <c r="W17" s="14"/>
      <c r="X17" s="15"/>
      <c r="Y17" s="5" t="b">
        <f t="shared" si="0"/>
        <v>1</v>
      </c>
      <c r="Z17" s="5" t="b">
        <f t="shared" si="1"/>
        <v>1</v>
      </c>
      <c r="AA17" s="5" t="b">
        <f t="shared" si="2"/>
        <v>1</v>
      </c>
      <c r="AB17" s="5" t="b">
        <f t="shared" si="3"/>
        <v>1</v>
      </c>
      <c r="AC17" s="5" t="b">
        <f t="shared" si="4"/>
        <v>1</v>
      </c>
      <c r="AD17" s="5" t="b">
        <f t="shared" si="5"/>
        <v>1</v>
      </c>
      <c r="AE17" s="5" t="b">
        <f t="shared" si="6"/>
        <v>1</v>
      </c>
      <c r="AF17" s="5" t="b">
        <f t="shared" si="6"/>
        <v>1</v>
      </c>
      <c r="AG17" s="5" t="b">
        <f t="shared" si="6"/>
        <v>1</v>
      </c>
      <c r="AH17" s="5" t="b">
        <f t="shared" si="6"/>
        <v>1</v>
      </c>
      <c r="AI17" s="5" t="b">
        <f t="shared" si="6"/>
        <v>1</v>
      </c>
    </row>
    <row r="18" spans="2:35" ht="14.15" customHeight="1">
      <c r="B18" s="30"/>
      <c r="C18" s="58"/>
      <c r="D18" s="59"/>
      <c r="E18" s="57"/>
      <c r="F18" s="57"/>
      <c r="G18" s="60"/>
      <c r="H18" s="65"/>
      <c r="I18" s="66"/>
      <c r="J18" s="67"/>
      <c r="K18" s="67"/>
      <c r="L18" s="68"/>
      <c r="N18" s="30"/>
      <c r="O18" s="26"/>
      <c r="P18" s="27"/>
      <c r="Q18" s="25"/>
      <c r="R18" s="25"/>
      <c r="S18" s="28"/>
      <c r="T18" s="16"/>
      <c r="U18" s="13"/>
      <c r="V18" s="14"/>
      <c r="W18" s="14"/>
      <c r="X18" s="15"/>
      <c r="Y18" s="5" t="b">
        <f t="shared" si="0"/>
        <v>1</v>
      </c>
      <c r="Z18" s="5" t="b">
        <f t="shared" si="1"/>
        <v>1</v>
      </c>
      <c r="AA18" s="5" t="b">
        <f t="shared" si="2"/>
        <v>1</v>
      </c>
      <c r="AB18" s="5" t="b">
        <f t="shared" si="3"/>
        <v>1</v>
      </c>
      <c r="AC18" s="5" t="b">
        <f t="shared" si="4"/>
        <v>1</v>
      </c>
      <c r="AD18" s="5" t="b">
        <f t="shared" si="5"/>
        <v>1</v>
      </c>
      <c r="AE18" s="5" t="b">
        <f t="shared" si="6"/>
        <v>1</v>
      </c>
      <c r="AF18" s="5" t="b">
        <f t="shared" si="6"/>
        <v>1</v>
      </c>
      <c r="AG18" s="5" t="b">
        <f t="shared" si="6"/>
        <v>1</v>
      </c>
      <c r="AH18" s="5" t="b">
        <f t="shared" si="6"/>
        <v>1</v>
      </c>
      <c r="AI18" s="5" t="b">
        <f t="shared" si="6"/>
        <v>1</v>
      </c>
    </row>
    <row r="19" spans="2:35" ht="14.15" customHeight="1">
      <c r="B19" s="2"/>
      <c r="C19" s="58"/>
      <c r="D19" s="59"/>
      <c r="E19" s="57"/>
      <c r="F19" s="57"/>
      <c r="G19" s="60"/>
      <c r="H19" s="65"/>
      <c r="I19" s="66"/>
      <c r="J19" s="67"/>
      <c r="K19" s="67"/>
      <c r="L19" s="68"/>
      <c r="N19" s="1"/>
      <c r="O19" s="26"/>
      <c r="P19" s="27"/>
      <c r="Q19" s="25"/>
      <c r="R19" s="25"/>
      <c r="S19" s="28"/>
      <c r="T19" s="16"/>
      <c r="U19" s="13"/>
      <c r="V19" s="14"/>
      <c r="W19" s="14"/>
      <c r="X19" s="15"/>
      <c r="Y19" s="5" t="b">
        <f t="shared" si="0"/>
        <v>1</v>
      </c>
      <c r="Z19" s="5" t="b">
        <f t="shared" si="1"/>
        <v>1</v>
      </c>
      <c r="AA19" s="5" t="b">
        <f t="shared" si="2"/>
        <v>1</v>
      </c>
      <c r="AB19" s="5" t="b">
        <f t="shared" si="3"/>
        <v>1</v>
      </c>
      <c r="AC19" s="5" t="b">
        <f t="shared" si="4"/>
        <v>1</v>
      </c>
      <c r="AD19" s="5" t="b">
        <f t="shared" si="5"/>
        <v>1</v>
      </c>
      <c r="AE19" s="5" t="b">
        <f t="shared" si="6"/>
        <v>1</v>
      </c>
      <c r="AF19" s="5" t="b">
        <f t="shared" si="6"/>
        <v>1</v>
      </c>
      <c r="AG19" s="5" t="b">
        <f t="shared" si="6"/>
        <v>1</v>
      </c>
      <c r="AH19" s="5" t="b">
        <f t="shared" si="6"/>
        <v>1</v>
      </c>
      <c r="AI19" s="5" t="b">
        <f t="shared" si="6"/>
        <v>1</v>
      </c>
    </row>
    <row r="20" spans="2:35" ht="14.15" customHeight="1">
      <c r="B20" s="1"/>
      <c r="C20" s="58"/>
      <c r="D20" s="59"/>
      <c r="E20" s="57"/>
      <c r="F20" s="57"/>
      <c r="G20" s="60"/>
      <c r="H20" s="65"/>
      <c r="I20" s="66"/>
      <c r="J20" s="67"/>
      <c r="K20" s="67"/>
      <c r="L20" s="68"/>
      <c r="N20" s="1"/>
      <c r="O20" s="26"/>
      <c r="P20" s="27"/>
      <c r="Q20" s="25"/>
      <c r="R20" s="25"/>
      <c r="S20" s="28"/>
      <c r="T20" s="16"/>
      <c r="U20" s="13"/>
      <c r="V20" s="14"/>
      <c r="W20" s="14"/>
      <c r="X20" s="15"/>
      <c r="Y20" s="5" t="b">
        <f t="shared" si="0"/>
        <v>1</v>
      </c>
      <c r="Z20" s="5" t="b">
        <f t="shared" si="1"/>
        <v>1</v>
      </c>
      <c r="AA20" s="5" t="b">
        <f t="shared" si="2"/>
        <v>1</v>
      </c>
      <c r="AB20" s="5" t="b">
        <f t="shared" si="3"/>
        <v>1</v>
      </c>
      <c r="AC20" s="5" t="b">
        <f t="shared" si="4"/>
        <v>1</v>
      </c>
      <c r="AD20" s="5" t="b">
        <f t="shared" si="5"/>
        <v>1</v>
      </c>
      <c r="AE20" s="5" t="b">
        <f t="shared" si="6"/>
        <v>1</v>
      </c>
      <c r="AF20" s="5" t="b">
        <f t="shared" si="6"/>
        <v>1</v>
      </c>
      <c r="AG20" s="5" t="b">
        <f t="shared" si="6"/>
        <v>1</v>
      </c>
      <c r="AH20" s="5" t="b">
        <f t="shared" si="6"/>
        <v>1</v>
      </c>
      <c r="AI20" s="5" t="b">
        <f t="shared" si="6"/>
        <v>1</v>
      </c>
    </row>
    <row r="21" spans="2:35" ht="14.15" customHeight="1">
      <c r="B21" s="1"/>
      <c r="C21" s="58"/>
      <c r="D21" s="59"/>
      <c r="E21" s="57"/>
      <c r="F21" s="57"/>
      <c r="G21" s="60"/>
      <c r="H21" s="61"/>
      <c r="I21" s="62"/>
      <c r="J21" s="63"/>
      <c r="K21" s="63"/>
      <c r="L21" s="64"/>
      <c r="N21" s="2"/>
      <c r="O21" s="26"/>
      <c r="P21" s="27"/>
      <c r="Q21" s="25"/>
      <c r="R21" s="25"/>
      <c r="S21" s="28"/>
      <c r="T21" s="19"/>
      <c r="U21" s="20"/>
      <c r="V21" s="21"/>
      <c r="W21" s="21"/>
      <c r="X21" s="22"/>
      <c r="Y21" s="5" t="b">
        <f t="shared" si="0"/>
        <v>1</v>
      </c>
      <c r="Z21" s="5" t="b">
        <f t="shared" si="1"/>
        <v>1</v>
      </c>
      <c r="AA21" s="5" t="b">
        <f t="shared" si="2"/>
        <v>1</v>
      </c>
      <c r="AB21" s="5" t="b">
        <f t="shared" si="3"/>
        <v>1</v>
      </c>
      <c r="AC21" s="5" t="b">
        <f t="shared" si="4"/>
        <v>1</v>
      </c>
      <c r="AD21" s="5" t="b">
        <f t="shared" si="5"/>
        <v>1</v>
      </c>
      <c r="AE21" s="5" t="b">
        <f t="shared" si="6"/>
        <v>1</v>
      </c>
      <c r="AF21" s="5" t="b">
        <f t="shared" si="6"/>
        <v>1</v>
      </c>
      <c r="AG21" s="5" t="b">
        <f t="shared" si="6"/>
        <v>1</v>
      </c>
      <c r="AH21" s="5" t="b">
        <f t="shared" si="6"/>
        <v>1</v>
      </c>
      <c r="AI21" s="5" t="b">
        <f t="shared" si="6"/>
        <v>1</v>
      </c>
    </row>
    <row r="22" spans="2:35" ht="14.15" customHeight="1">
      <c r="B22" s="2"/>
      <c r="C22" s="58"/>
      <c r="D22" s="59"/>
      <c r="E22" s="57"/>
      <c r="F22" s="57"/>
      <c r="G22" s="60"/>
      <c r="H22" s="61"/>
      <c r="I22" s="62"/>
      <c r="J22" s="63"/>
      <c r="K22" s="63"/>
      <c r="L22" s="64"/>
      <c r="N22" s="1"/>
      <c r="O22" s="26"/>
      <c r="P22" s="27"/>
      <c r="Q22" s="25"/>
      <c r="R22" s="25"/>
      <c r="S22" s="28"/>
      <c r="T22" s="19"/>
      <c r="U22" s="20"/>
      <c r="V22" s="21"/>
      <c r="W22" s="21"/>
      <c r="X22" s="22"/>
      <c r="Y22" s="5" t="b">
        <f t="shared" si="0"/>
        <v>1</v>
      </c>
      <c r="Z22" s="5" t="b">
        <f t="shared" si="1"/>
        <v>1</v>
      </c>
      <c r="AA22" s="5" t="b">
        <f t="shared" si="2"/>
        <v>1</v>
      </c>
      <c r="AB22" s="5" t="b">
        <f t="shared" si="3"/>
        <v>1</v>
      </c>
      <c r="AC22" s="5" t="b">
        <f t="shared" si="4"/>
        <v>1</v>
      </c>
      <c r="AD22" s="5" t="b">
        <f t="shared" si="5"/>
        <v>1</v>
      </c>
      <c r="AE22" s="5" t="b">
        <f t="shared" si="6"/>
        <v>1</v>
      </c>
      <c r="AF22" s="5" t="b">
        <f t="shared" si="6"/>
        <v>1</v>
      </c>
      <c r="AG22" s="5" t="b">
        <f t="shared" si="6"/>
        <v>1</v>
      </c>
      <c r="AH22" s="5" t="b">
        <f t="shared" si="6"/>
        <v>1</v>
      </c>
      <c r="AI22" s="5" t="b">
        <f t="shared" si="6"/>
        <v>1</v>
      </c>
    </row>
    <row r="23" spans="2:35" ht="14.15" customHeight="1">
      <c r="B23" s="1"/>
      <c r="C23" s="58"/>
      <c r="D23" s="59"/>
      <c r="E23" s="57"/>
      <c r="F23" s="57"/>
      <c r="G23" s="60"/>
      <c r="H23" s="65"/>
      <c r="I23" s="66"/>
      <c r="J23" s="67"/>
      <c r="K23" s="67"/>
      <c r="L23" s="68"/>
      <c r="N23" s="1"/>
      <c r="O23" s="26"/>
      <c r="P23" s="27"/>
      <c r="Q23" s="25"/>
      <c r="R23" s="25"/>
      <c r="S23" s="28"/>
      <c r="T23" s="19"/>
      <c r="U23" s="20"/>
      <c r="V23" s="21"/>
      <c r="W23" s="21"/>
      <c r="X23" s="22"/>
      <c r="Y23" s="5" t="b">
        <f t="shared" si="0"/>
        <v>1</v>
      </c>
      <c r="Z23" s="5" t="b">
        <f t="shared" si="1"/>
        <v>1</v>
      </c>
      <c r="AA23" s="5" t="b">
        <f t="shared" si="2"/>
        <v>1</v>
      </c>
      <c r="AB23" s="5" t="b">
        <f t="shared" si="3"/>
        <v>1</v>
      </c>
      <c r="AC23" s="5" t="b">
        <f t="shared" si="4"/>
        <v>1</v>
      </c>
      <c r="AD23" s="5" t="b">
        <f t="shared" si="5"/>
        <v>1</v>
      </c>
      <c r="AE23" s="5" t="b">
        <f t="shared" si="6"/>
        <v>1</v>
      </c>
      <c r="AF23" s="5" t="b">
        <f t="shared" si="6"/>
        <v>1</v>
      </c>
      <c r="AG23" s="5" t="b">
        <f t="shared" si="6"/>
        <v>1</v>
      </c>
      <c r="AH23" s="5" t="b">
        <f t="shared" si="6"/>
        <v>1</v>
      </c>
      <c r="AI23" s="5" t="b">
        <f t="shared" si="6"/>
        <v>1</v>
      </c>
    </row>
    <row r="24" spans="2:35" ht="14.15" customHeight="1">
      <c r="B24" s="1"/>
      <c r="C24" s="58"/>
      <c r="D24" s="59"/>
      <c r="E24" s="57"/>
      <c r="F24" s="57"/>
      <c r="G24" s="60"/>
      <c r="H24" s="61"/>
      <c r="I24" s="62"/>
      <c r="J24" s="63"/>
      <c r="K24" s="63"/>
      <c r="L24" s="64"/>
      <c r="N24" s="2"/>
      <c r="O24" s="26"/>
      <c r="P24" s="27"/>
      <c r="Q24" s="25"/>
      <c r="R24" s="25"/>
      <c r="S24" s="28"/>
      <c r="T24" s="19"/>
      <c r="U24" s="20"/>
      <c r="V24" s="21"/>
      <c r="W24" s="21"/>
      <c r="X24" s="22"/>
      <c r="Y24" s="5" t="b">
        <f t="shared" si="0"/>
        <v>1</v>
      </c>
      <c r="Z24" s="5" t="b">
        <f t="shared" si="1"/>
        <v>1</v>
      </c>
      <c r="AA24" s="5" t="b">
        <f t="shared" si="2"/>
        <v>1</v>
      </c>
      <c r="AB24" s="5" t="b">
        <f t="shared" si="3"/>
        <v>1</v>
      </c>
      <c r="AC24" s="5" t="b">
        <f t="shared" si="4"/>
        <v>1</v>
      </c>
      <c r="AD24" s="5" t="b">
        <f t="shared" si="5"/>
        <v>1</v>
      </c>
      <c r="AE24" s="5" t="b">
        <f t="shared" si="6"/>
        <v>1</v>
      </c>
      <c r="AF24" s="5" t="b">
        <f t="shared" si="6"/>
        <v>1</v>
      </c>
      <c r="AG24" s="5" t="b">
        <f t="shared" si="6"/>
        <v>1</v>
      </c>
      <c r="AH24" s="5" t="b">
        <f t="shared" si="6"/>
        <v>1</v>
      </c>
      <c r="AI24" s="5" t="b">
        <f t="shared" si="6"/>
        <v>1</v>
      </c>
    </row>
    <row r="25" spans="2:35" ht="14.15" customHeight="1">
      <c r="B25" s="1"/>
      <c r="C25" s="58"/>
      <c r="D25" s="59"/>
      <c r="E25" s="57"/>
      <c r="F25" s="57"/>
      <c r="G25" s="60"/>
      <c r="H25" s="61"/>
      <c r="I25" s="62"/>
      <c r="J25" s="63"/>
      <c r="K25" s="63"/>
      <c r="L25" s="64"/>
      <c r="N25" s="1"/>
      <c r="O25" s="26"/>
      <c r="P25" s="27"/>
      <c r="Q25" s="25"/>
      <c r="R25" s="25"/>
      <c r="S25" s="28"/>
      <c r="T25" s="19"/>
      <c r="U25" s="20"/>
      <c r="V25" s="21"/>
      <c r="W25" s="21"/>
      <c r="X25" s="22"/>
      <c r="Y25" s="5" t="b">
        <f t="shared" si="0"/>
        <v>1</v>
      </c>
      <c r="Z25" s="5" t="b">
        <f t="shared" si="1"/>
        <v>1</v>
      </c>
      <c r="AA25" s="5" t="b">
        <f t="shared" si="2"/>
        <v>1</v>
      </c>
      <c r="AB25" s="5" t="b">
        <f t="shared" si="3"/>
        <v>1</v>
      </c>
      <c r="AC25" s="5" t="b">
        <f t="shared" si="4"/>
        <v>1</v>
      </c>
      <c r="AD25" s="5" t="b">
        <f t="shared" si="5"/>
        <v>1</v>
      </c>
      <c r="AE25" s="5" t="b">
        <f t="shared" si="6"/>
        <v>1</v>
      </c>
      <c r="AF25" s="5" t="b">
        <f t="shared" si="6"/>
        <v>1</v>
      </c>
      <c r="AG25" s="5" t="b">
        <f t="shared" si="6"/>
        <v>1</v>
      </c>
      <c r="AH25" s="5" t="b">
        <f t="shared" si="6"/>
        <v>1</v>
      </c>
      <c r="AI25" s="5" t="b">
        <f t="shared" si="6"/>
        <v>1</v>
      </c>
    </row>
    <row r="26" spans="2:35" ht="14.15" customHeight="1">
      <c r="B26" s="1"/>
      <c r="C26" s="58"/>
      <c r="D26" s="59"/>
      <c r="E26" s="57"/>
      <c r="F26" s="57"/>
      <c r="G26" s="60"/>
      <c r="H26" s="61"/>
      <c r="I26" s="62"/>
      <c r="J26" s="63"/>
      <c r="K26" s="63"/>
      <c r="L26" s="64"/>
      <c r="N26" s="1"/>
      <c r="O26" s="26"/>
      <c r="P26" s="27"/>
      <c r="Q26" s="25"/>
      <c r="R26" s="25"/>
      <c r="S26" s="28"/>
      <c r="T26" s="19"/>
      <c r="U26" s="20"/>
      <c r="V26" s="21"/>
      <c r="W26" s="21"/>
      <c r="X26" s="22"/>
      <c r="Y26" s="5" t="b">
        <f t="shared" si="0"/>
        <v>1</v>
      </c>
      <c r="Z26" s="5" t="b">
        <f t="shared" si="1"/>
        <v>1</v>
      </c>
      <c r="AA26" s="5" t="b">
        <f t="shared" si="2"/>
        <v>1</v>
      </c>
      <c r="AB26" s="5" t="b">
        <f t="shared" si="3"/>
        <v>1</v>
      </c>
      <c r="AC26" s="5" t="b">
        <f t="shared" si="4"/>
        <v>1</v>
      </c>
      <c r="AD26" s="5" t="b">
        <f t="shared" si="5"/>
        <v>1</v>
      </c>
      <c r="AE26" s="5" t="b">
        <f t="shared" si="6"/>
        <v>1</v>
      </c>
      <c r="AF26" s="5" t="b">
        <f t="shared" si="6"/>
        <v>1</v>
      </c>
      <c r="AG26" s="5" t="b">
        <f t="shared" si="6"/>
        <v>1</v>
      </c>
      <c r="AH26" s="5" t="b">
        <f t="shared" si="6"/>
        <v>1</v>
      </c>
      <c r="AI26" s="5" t="b">
        <f t="shared" si="6"/>
        <v>1</v>
      </c>
    </row>
    <row r="27" spans="2:35" ht="14.15" customHeight="1">
      <c r="B27" s="1"/>
      <c r="C27" s="58"/>
      <c r="D27" s="59"/>
      <c r="E27" s="57"/>
      <c r="F27" s="57"/>
      <c r="G27" s="60"/>
      <c r="H27" s="65"/>
      <c r="I27" s="66"/>
      <c r="J27" s="67"/>
      <c r="K27" s="67"/>
      <c r="L27" s="68"/>
      <c r="N27" s="1"/>
      <c r="O27" s="26"/>
      <c r="P27" s="27"/>
      <c r="Q27" s="25"/>
      <c r="R27" s="25"/>
      <c r="S27" s="28"/>
      <c r="T27" s="19"/>
      <c r="U27" s="20"/>
      <c r="V27" s="21"/>
      <c r="W27" s="21"/>
      <c r="X27" s="22"/>
      <c r="Y27" s="5" t="b">
        <f t="shared" si="0"/>
        <v>1</v>
      </c>
      <c r="Z27" s="5" t="b">
        <f t="shared" si="1"/>
        <v>1</v>
      </c>
      <c r="AA27" s="5" t="b">
        <f t="shared" si="2"/>
        <v>1</v>
      </c>
      <c r="AB27" s="5" t="b">
        <f t="shared" si="3"/>
        <v>1</v>
      </c>
      <c r="AC27" s="5" t="b">
        <f t="shared" si="4"/>
        <v>1</v>
      </c>
      <c r="AD27" s="5" t="b">
        <f t="shared" si="5"/>
        <v>1</v>
      </c>
      <c r="AE27" s="5" t="b">
        <f t="shared" si="6"/>
        <v>1</v>
      </c>
      <c r="AF27" s="5" t="b">
        <f t="shared" si="6"/>
        <v>1</v>
      </c>
      <c r="AG27" s="5" t="b">
        <f t="shared" si="6"/>
        <v>1</v>
      </c>
      <c r="AH27" s="5" t="b">
        <f t="shared" si="6"/>
        <v>1</v>
      </c>
      <c r="AI27" s="5" t="b">
        <f t="shared" si="6"/>
        <v>1</v>
      </c>
    </row>
    <row r="28" spans="2:35" ht="14.15" customHeight="1">
      <c r="B28" s="1"/>
      <c r="C28" s="58"/>
      <c r="D28" s="59"/>
      <c r="E28" s="57"/>
      <c r="F28" s="57"/>
      <c r="G28" s="60"/>
      <c r="H28" s="61"/>
      <c r="I28" s="62"/>
      <c r="J28" s="63"/>
      <c r="K28" s="63"/>
      <c r="L28" s="64"/>
      <c r="N28" s="1"/>
      <c r="O28" s="26"/>
      <c r="P28" s="27"/>
      <c r="Q28" s="25"/>
      <c r="R28" s="25"/>
      <c r="S28" s="28"/>
      <c r="T28" s="19"/>
      <c r="U28" s="20"/>
      <c r="V28" s="21"/>
      <c r="W28" s="21"/>
      <c r="X28" s="22"/>
      <c r="Y28" s="5" t="b">
        <f t="shared" si="0"/>
        <v>1</v>
      </c>
      <c r="Z28" s="5" t="b">
        <f t="shared" si="1"/>
        <v>1</v>
      </c>
      <c r="AA28" s="5" t="b">
        <f t="shared" si="2"/>
        <v>1</v>
      </c>
      <c r="AB28" s="5" t="b">
        <f t="shared" si="3"/>
        <v>1</v>
      </c>
      <c r="AC28" s="5" t="b">
        <f t="shared" si="4"/>
        <v>1</v>
      </c>
      <c r="AD28" s="5" t="b">
        <f t="shared" si="5"/>
        <v>1</v>
      </c>
      <c r="AE28" s="5" t="b">
        <f t="shared" ref="AE28:AI39" si="7">EXACT(T28,H28)</f>
        <v>1</v>
      </c>
      <c r="AF28" s="5" t="b">
        <f t="shared" si="7"/>
        <v>1</v>
      </c>
      <c r="AG28" s="5" t="b">
        <f t="shared" si="7"/>
        <v>1</v>
      </c>
      <c r="AH28" s="5" t="b">
        <f t="shared" si="7"/>
        <v>1</v>
      </c>
      <c r="AI28" s="5" t="b">
        <f t="shared" si="7"/>
        <v>1</v>
      </c>
    </row>
    <row r="29" spans="2:35" ht="14.15" customHeight="1">
      <c r="B29" s="1"/>
      <c r="C29" s="58"/>
      <c r="D29" s="59"/>
      <c r="E29" s="57"/>
      <c r="F29" s="57"/>
      <c r="G29" s="60"/>
      <c r="H29" s="61"/>
      <c r="I29" s="62"/>
      <c r="J29" s="63"/>
      <c r="K29" s="63"/>
      <c r="L29" s="64"/>
      <c r="N29" s="1"/>
      <c r="O29" s="26"/>
      <c r="P29" s="27"/>
      <c r="Q29" s="25"/>
      <c r="R29" s="25"/>
      <c r="S29" s="28"/>
      <c r="T29" s="19"/>
      <c r="U29" s="20"/>
      <c r="V29" s="21"/>
      <c r="W29" s="21"/>
      <c r="X29" s="22"/>
      <c r="Y29" s="5" t="b">
        <f t="shared" si="0"/>
        <v>1</v>
      </c>
      <c r="Z29" s="5" t="b">
        <f t="shared" si="1"/>
        <v>1</v>
      </c>
      <c r="AA29" s="5" t="b">
        <f t="shared" si="2"/>
        <v>1</v>
      </c>
      <c r="AB29" s="5" t="b">
        <f t="shared" si="3"/>
        <v>1</v>
      </c>
      <c r="AC29" s="5" t="b">
        <f t="shared" si="4"/>
        <v>1</v>
      </c>
      <c r="AD29" s="5" t="b">
        <f t="shared" si="5"/>
        <v>1</v>
      </c>
      <c r="AE29" s="5" t="b">
        <f t="shared" si="7"/>
        <v>1</v>
      </c>
      <c r="AF29" s="5" t="b">
        <f t="shared" si="7"/>
        <v>1</v>
      </c>
      <c r="AG29" s="5" t="b">
        <f t="shared" si="7"/>
        <v>1</v>
      </c>
      <c r="AH29" s="5" t="b">
        <f t="shared" si="7"/>
        <v>1</v>
      </c>
      <c r="AI29" s="5" t="b">
        <f t="shared" si="7"/>
        <v>1</v>
      </c>
    </row>
    <row r="30" spans="2:35" ht="14.15" customHeight="1">
      <c r="B30" s="1"/>
      <c r="C30" s="58"/>
      <c r="D30" s="59"/>
      <c r="E30" s="57"/>
      <c r="F30" s="57"/>
      <c r="G30" s="60"/>
      <c r="H30" s="65"/>
      <c r="I30" s="66"/>
      <c r="J30" s="67"/>
      <c r="K30" s="67"/>
      <c r="L30" s="68"/>
      <c r="N30" s="1"/>
      <c r="O30" s="26"/>
      <c r="P30" s="27"/>
      <c r="Q30" s="25"/>
      <c r="R30" s="25"/>
      <c r="S30" s="28"/>
      <c r="T30" s="19"/>
      <c r="U30" s="20"/>
      <c r="V30" s="21"/>
      <c r="W30" s="21"/>
      <c r="X30" s="22"/>
      <c r="Y30" s="5" t="b">
        <f t="shared" si="0"/>
        <v>1</v>
      </c>
      <c r="Z30" s="5" t="b">
        <f t="shared" si="1"/>
        <v>1</v>
      </c>
      <c r="AA30" s="5" t="b">
        <f t="shared" si="2"/>
        <v>1</v>
      </c>
      <c r="AB30" s="5" t="b">
        <f t="shared" si="3"/>
        <v>1</v>
      </c>
      <c r="AC30" s="5" t="b">
        <f t="shared" si="4"/>
        <v>1</v>
      </c>
      <c r="AD30" s="5" t="b">
        <f t="shared" si="5"/>
        <v>1</v>
      </c>
      <c r="AE30" s="5" t="b">
        <f t="shared" si="7"/>
        <v>1</v>
      </c>
      <c r="AF30" s="5" t="b">
        <f t="shared" si="7"/>
        <v>1</v>
      </c>
      <c r="AG30" s="5" t="b">
        <f t="shared" si="7"/>
        <v>1</v>
      </c>
      <c r="AH30" s="5" t="b">
        <f t="shared" si="7"/>
        <v>1</v>
      </c>
      <c r="AI30" s="5" t="b">
        <f t="shared" si="7"/>
        <v>1</v>
      </c>
    </row>
    <row r="31" spans="2:35" ht="14.15" customHeight="1">
      <c r="B31" s="1"/>
      <c r="C31" s="58"/>
      <c r="D31" s="59"/>
      <c r="E31" s="57"/>
      <c r="F31" s="57"/>
      <c r="G31" s="60"/>
      <c r="H31" s="65"/>
      <c r="I31" s="66"/>
      <c r="J31" s="67"/>
      <c r="K31" s="67"/>
      <c r="L31" s="68"/>
      <c r="N31" s="1"/>
      <c r="O31" s="26"/>
      <c r="P31" s="27"/>
      <c r="Q31" s="25"/>
      <c r="R31" s="25"/>
      <c r="S31" s="28"/>
      <c r="T31" s="19"/>
      <c r="U31" s="20"/>
      <c r="V31" s="21"/>
      <c r="W31" s="21"/>
      <c r="X31" s="22"/>
      <c r="Y31" s="5" t="b">
        <f t="shared" si="0"/>
        <v>1</v>
      </c>
      <c r="Z31" s="5" t="b">
        <f t="shared" si="1"/>
        <v>1</v>
      </c>
      <c r="AA31" s="5" t="b">
        <f t="shared" si="2"/>
        <v>1</v>
      </c>
      <c r="AB31" s="5" t="b">
        <f t="shared" si="3"/>
        <v>1</v>
      </c>
      <c r="AC31" s="5" t="b">
        <f t="shared" si="4"/>
        <v>1</v>
      </c>
      <c r="AD31" s="5" t="b">
        <f t="shared" si="5"/>
        <v>1</v>
      </c>
      <c r="AE31" s="5" t="b">
        <f t="shared" si="7"/>
        <v>1</v>
      </c>
      <c r="AF31" s="5" t="b">
        <f t="shared" si="7"/>
        <v>1</v>
      </c>
      <c r="AG31" s="5" t="b">
        <f t="shared" si="7"/>
        <v>1</v>
      </c>
      <c r="AH31" s="5" t="b">
        <f t="shared" si="7"/>
        <v>1</v>
      </c>
      <c r="AI31" s="5" t="b">
        <f t="shared" si="7"/>
        <v>1</v>
      </c>
    </row>
    <row r="32" spans="2:35" ht="14.15" customHeight="1">
      <c r="B32" s="1"/>
      <c r="C32" s="58"/>
      <c r="D32" s="59"/>
      <c r="E32" s="57"/>
      <c r="F32" s="57"/>
      <c r="G32" s="60"/>
      <c r="H32" s="61"/>
      <c r="I32" s="62"/>
      <c r="J32" s="63"/>
      <c r="K32" s="63"/>
      <c r="L32" s="64"/>
      <c r="N32" s="1"/>
      <c r="O32" s="26"/>
      <c r="P32" s="27"/>
      <c r="Q32" s="25"/>
      <c r="R32" s="25"/>
      <c r="S32" s="28"/>
      <c r="T32" s="16"/>
      <c r="U32" s="13"/>
      <c r="V32" s="14"/>
      <c r="W32" s="14"/>
      <c r="X32" s="15"/>
      <c r="Y32" s="5" t="b">
        <f t="shared" si="0"/>
        <v>1</v>
      </c>
      <c r="Z32" s="5" t="b">
        <f t="shared" si="1"/>
        <v>1</v>
      </c>
      <c r="AA32" s="5" t="b">
        <f t="shared" si="2"/>
        <v>1</v>
      </c>
      <c r="AB32" s="5" t="b">
        <f t="shared" si="3"/>
        <v>1</v>
      </c>
      <c r="AC32" s="5" t="b">
        <f t="shared" si="4"/>
        <v>1</v>
      </c>
      <c r="AD32" s="5" t="b">
        <f t="shared" si="5"/>
        <v>1</v>
      </c>
      <c r="AE32" s="5" t="b">
        <f t="shared" si="7"/>
        <v>1</v>
      </c>
      <c r="AF32" s="5" t="b">
        <f t="shared" si="7"/>
        <v>1</v>
      </c>
      <c r="AG32" s="5" t="b">
        <f t="shared" si="7"/>
        <v>1</v>
      </c>
      <c r="AH32" s="5" t="b">
        <f t="shared" si="7"/>
        <v>1</v>
      </c>
      <c r="AI32" s="5" t="b">
        <f t="shared" si="7"/>
        <v>1</v>
      </c>
    </row>
    <row r="33" spans="2:35" ht="14.15" customHeight="1">
      <c r="B33" s="1"/>
      <c r="C33" s="58"/>
      <c r="D33" s="59"/>
      <c r="E33" s="57"/>
      <c r="F33" s="57"/>
      <c r="G33" s="60"/>
      <c r="H33" s="61"/>
      <c r="I33" s="62"/>
      <c r="J33" s="63"/>
      <c r="K33" s="63"/>
      <c r="L33" s="64"/>
      <c r="N33" s="1"/>
      <c r="O33" s="26"/>
      <c r="P33" s="27"/>
      <c r="Q33" s="25"/>
      <c r="R33" s="25"/>
      <c r="S33" s="28"/>
      <c r="T33" s="16"/>
      <c r="U33" s="13"/>
      <c r="V33" s="14"/>
      <c r="W33" s="14"/>
      <c r="X33" s="15"/>
      <c r="Y33" s="5" t="b">
        <f t="shared" si="0"/>
        <v>1</v>
      </c>
      <c r="Z33" s="5" t="b">
        <f t="shared" si="1"/>
        <v>1</v>
      </c>
      <c r="AA33" s="5" t="b">
        <f t="shared" si="2"/>
        <v>1</v>
      </c>
      <c r="AB33" s="5" t="b">
        <f t="shared" si="3"/>
        <v>1</v>
      </c>
      <c r="AC33" s="5" t="b">
        <f t="shared" si="4"/>
        <v>1</v>
      </c>
      <c r="AD33" s="5" t="b">
        <f t="shared" si="5"/>
        <v>1</v>
      </c>
      <c r="AE33" s="5" t="b">
        <f t="shared" si="7"/>
        <v>1</v>
      </c>
      <c r="AF33" s="5" t="b">
        <f t="shared" si="7"/>
        <v>1</v>
      </c>
      <c r="AG33" s="5" t="b">
        <f t="shared" si="7"/>
        <v>1</v>
      </c>
      <c r="AH33" s="5" t="b">
        <f t="shared" si="7"/>
        <v>1</v>
      </c>
      <c r="AI33" s="5" t="b">
        <f t="shared" si="7"/>
        <v>1</v>
      </c>
    </row>
    <row r="34" spans="2:35" ht="14.15" customHeight="1">
      <c r="B34" s="1"/>
      <c r="C34" s="58"/>
      <c r="D34" s="59"/>
      <c r="E34" s="57"/>
      <c r="F34" s="57"/>
      <c r="G34" s="60"/>
      <c r="H34" s="65"/>
      <c r="I34" s="66"/>
      <c r="J34" s="67"/>
      <c r="K34" s="67"/>
      <c r="L34" s="68"/>
      <c r="N34" s="1"/>
      <c r="O34" s="26"/>
      <c r="P34" s="27"/>
      <c r="Q34" s="25"/>
      <c r="R34" s="25"/>
      <c r="S34" s="28"/>
      <c r="T34" s="16"/>
      <c r="U34" s="13"/>
      <c r="V34" s="14"/>
      <c r="W34" s="14"/>
      <c r="X34" s="15"/>
      <c r="Y34" s="5" t="b">
        <f t="shared" si="0"/>
        <v>1</v>
      </c>
      <c r="Z34" s="5" t="b">
        <f t="shared" si="1"/>
        <v>1</v>
      </c>
      <c r="AA34" s="5" t="b">
        <f t="shared" si="2"/>
        <v>1</v>
      </c>
      <c r="AB34" s="5" t="b">
        <f t="shared" si="3"/>
        <v>1</v>
      </c>
      <c r="AC34" s="5" t="b">
        <f t="shared" si="4"/>
        <v>1</v>
      </c>
      <c r="AD34" s="5" t="b">
        <f t="shared" si="5"/>
        <v>1</v>
      </c>
      <c r="AE34" s="5" t="b">
        <f t="shared" si="7"/>
        <v>1</v>
      </c>
      <c r="AF34" s="5" t="b">
        <f t="shared" si="7"/>
        <v>1</v>
      </c>
      <c r="AG34" s="5" t="b">
        <f t="shared" si="7"/>
        <v>1</v>
      </c>
      <c r="AH34" s="5" t="b">
        <f t="shared" si="7"/>
        <v>1</v>
      </c>
      <c r="AI34" s="5" t="b">
        <f t="shared" si="7"/>
        <v>1</v>
      </c>
    </row>
    <row r="35" spans="2:35" ht="14.15" customHeight="1">
      <c r="B35" s="1"/>
      <c r="C35" s="58"/>
      <c r="D35" s="59"/>
      <c r="E35" s="57"/>
      <c r="F35" s="57"/>
      <c r="G35" s="60"/>
      <c r="H35" s="65"/>
      <c r="I35" s="66"/>
      <c r="J35" s="67"/>
      <c r="K35" s="67"/>
      <c r="L35" s="68"/>
      <c r="N35" s="1"/>
      <c r="O35" s="26"/>
      <c r="P35" s="27"/>
      <c r="Q35" s="25"/>
      <c r="R35" s="25"/>
      <c r="S35" s="28"/>
      <c r="T35" s="16"/>
      <c r="U35" s="13"/>
      <c r="V35" s="14"/>
      <c r="W35" s="14"/>
      <c r="X35" s="15"/>
      <c r="Y35" s="5" t="b">
        <f t="shared" si="0"/>
        <v>1</v>
      </c>
      <c r="Z35" s="5" t="b">
        <f t="shared" si="1"/>
        <v>1</v>
      </c>
      <c r="AA35" s="5" t="b">
        <f t="shared" si="2"/>
        <v>1</v>
      </c>
      <c r="AB35" s="5" t="b">
        <f t="shared" si="3"/>
        <v>1</v>
      </c>
      <c r="AC35" s="5" t="b">
        <f t="shared" si="4"/>
        <v>1</v>
      </c>
      <c r="AD35" s="5" t="b">
        <f t="shared" si="5"/>
        <v>1</v>
      </c>
      <c r="AE35" s="5" t="b">
        <f t="shared" si="7"/>
        <v>1</v>
      </c>
      <c r="AF35" s="5" t="b">
        <f t="shared" si="7"/>
        <v>1</v>
      </c>
      <c r="AG35" s="5" t="b">
        <f t="shared" si="7"/>
        <v>1</v>
      </c>
      <c r="AH35" s="5" t="b">
        <f t="shared" si="7"/>
        <v>1</v>
      </c>
      <c r="AI35" s="5" t="b">
        <f t="shared" si="7"/>
        <v>1</v>
      </c>
    </row>
    <row r="36" spans="2:35" ht="14.15" customHeight="1">
      <c r="B36" s="1"/>
      <c r="C36" s="58"/>
      <c r="D36" s="59"/>
      <c r="E36" s="57"/>
      <c r="F36" s="57"/>
      <c r="G36" s="60"/>
      <c r="H36" s="61"/>
      <c r="I36" s="62"/>
      <c r="J36" s="63"/>
      <c r="K36" s="63"/>
      <c r="L36" s="64"/>
      <c r="N36" s="1"/>
      <c r="O36" s="26"/>
      <c r="P36" s="27"/>
      <c r="Q36" s="25"/>
      <c r="R36" s="25"/>
      <c r="S36" s="28"/>
      <c r="T36" s="16"/>
      <c r="U36" s="13"/>
      <c r="V36" s="14"/>
      <c r="W36" s="14"/>
      <c r="X36" s="15"/>
      <c r="Y36" s="5" t="b">
        <f t="shared" si="0"/>
        <v>1</v>
      </c>
      <c r="Z36" s="5" t="b">
        <f t="shared" si="1"/>
        <v>1</v>
      </c>
      <c r="AA36" s="5" t="b">
        <f t="shared" si="2"/>
        <v>1</v>
      </c>
      <c r="AB36" s="5" t="b">
        <f t="shared" si="3"/>
        <v>1</v>
      </c>
      <c r="AC36" s="5" t="b">
        <f t="shared" si="4"/>
        <v>1</v>
      </c>
      <c r="AD36" s="5" t="b">
        <f t="shared" si="5"/>
        <v>1</v>
      </c>
      <c r="AE36" s="5" t="b">
        <f t="shared" si="7"/>
        <v>1</v>
      </c>
      <c r="AF36" s="5" t="b">
        <f t="shared" si="7"/>
        <v>1</v>
      </c>
      <c r="AG36" s="5" t="b">
        <f t="shared" si="7"/>
        <v>1</v>
      </c>
      <c r="AH36" s="5" t="b">
        <f t="shared" si="7"/>
        <v>1</v>
      </c>
      <c r="AI36" s="5" t="b">
        <f t="shared" si="7"/>
        <v>1</v>
      </c>
    </row>
    <row r="37" spans="2:35" ht="14.15" customHeight="1">
      <c r="B37" s="1"/>
      <c r="C37" s="58"/>
      <c r="D37" s="59"/>
      <c r="E37" s="57"/>
      <c r="F37" s="57"/>
      <c r="G37" s="60"/>
      <c r="H37" s="65"/>
      <c r="I37" s="66"/>
      <c r="J37" s="67"/>
      <c r="K37" s="67"/>
      <c r="L37" s="68"/>
      <c r="N37" s="1"/>
      <c r="O37" s="26"/>
      <c r="P37" s="27"/>
      <c r="Q37" s="25"/>
      <c r="R37" s="25"/>
      <c r="S37" s="28"/>
      <c r="T37" s="16"/>
      <c r="U37" s="13"/>
      <c r="V37" s="14"/>
      <c r="W37" s="14"/>
      <c r="X37" s="15"/>
      <c r="Y37" s="5" t="b">
        <f t="shared" si="0"/>
        <v>1</v>
      </c>
      <c r="Z37" s="5" t="b">
        <f t="shared" si="1"/>
        <v>1</v>
      </c>
      <c r="AA37" s="5" t="b">
        <f t="shared" si="2"/>
        <v>1</v>
      </c>
      <c r="AB37" s="5" t="b">
        <f t="shared" si="3"/>
        <v>1</v>
      </c>
      <c r="AC37" s="5" t="b">
        <f t="shared" si="4"/>
        <v>1</v>
      </c>
      <c r="AD37" s="5" t="b">
        <f t="shared" si="5"/>
        <v>1</v>
      </c>
      <c r="AE37" s="5" t="b">
        <f t="shared" si="7"/>
        <v>1</v>
      </c>
      <c r="AF37" s="5" t="b">
        <f t="shared" si="7"/>
        <v>1</v>
      </c>
      <c r="AG37" s="5" t="b">
        <f t="shared" si="7"/>
        <v>1</v>
      </c>
      <c r="AH37" s="5" t="b">
        <f t="shared" si="7"/>
        <v>1</v>
      </c>
      <c r="AI37" s="5" t="b">
        <f t="shared" si="7"/>
        <v>1</v>
      </c>
    </row>
    <row r="38" spans="2:35" ht="14.15" customHeight="1">
      <c r="B38" s="1"/>
      <c r="C38" s="58"/>
      <c r="D38" s="59"/>
      <c r="E38" s="57"/>
      <c r="F38" s="57"/>
      <c r="G38" s="60"/>
      <c r="H38" s="65"/>
      <c r="I38" s="66"/>
      <c r="J38" s="67"/>
      <c r="K38" s="67"/>
      <c r="L38" s="68"/>
      <c r="N38" s="1"/>
      <c r="O38" s="26"/>
      <c r="P38" s="27"/>
      <c r="Q38" s="25"/>
      <c r="R38" s="25"/>
      <c r="S38" s="28"/>
      <c r="T38" s="16"/>
      <c r="U38" s="13"/>
      <c r="V38" s="14"/>
      <c r="W38" s="14"/>
      <c r="X38" s="15"/>
      <c r="Y38" s="5" t="b">
        <f t="shared" si="0"/>
        <v>1</v>
      </c>
      <c r="Z38" s="5" t="b">
        <f t="shared" si="1"/>
        <v>1</v>
      </c>
      <c r="AA38" s="5" t="b">
        <f t="shared" si="2"/>
        <v>1</v>
      </c>
      <c r="AB38" s="5" t="b">
        <f t="shared" si="3"/>
        <v>1</v>
      </c>
      <c r="AC38" s="5" t="b">
        <f t="shared" si="4"/>
        <v>1</v>
      </c>
      <c r="AD38" s="5" t="b">
        <f t="shared" si="5"/>
        <v>1</v>
      </c>
      <c r="AE38" s="5" t="b">
        <f t="shared" si="7"/>
        <v>1</v>
      </c>
      <c r="AF38" s="5" t="b">
        <f t="shared" si="7"/>
        <v>1</v>
      </c>
      <c r="AG38" s="5" t="b">
        <f t="shared" si="7"/>
        <v>1</v>
      </c>
      <c r="AH38" s="5" t="b">
        <f t="shared" si="7"/>
        <v>1</v>
      </c>
      <c r="AI38" s="5" t="b">
        <f t="shared" si="7"/>
        <v>1</v>
      </c>
    </row>
    <row r="39" spans="2:35" ht="14.15" customHeight="1">
      <c r="B39" s="1"/>
      <c r="C39" s="58"/>
      <c r="D39" s="59"/>
      <c r="E39" s="57"/>
      <c r="F39" s="57"/>
      <c r="G39" s="60"/>
      <c r="H39" s="65"/>
      <c r="I39" s="66"/>
      <c r="J39" s="67"/>
      <c r="K39" s="67"/>
      <c r="L39" s="68"/>
      <c r="N39" s="1"/>
      <c r="O39" s="26"/>
      <c r="P39" s="27"/>
      <c r="Q39" s="25"/>
      <c r="R39" s="25"/>
      <c r="S39" s="28"/>
      <c r="T39" s="16"/>
      <c r="U39" s="13"/>
      <c r="V39" s="14"/>
      <c r="W39" s="14"/>
      <c r="X39" s="15"/>
      <c r="Y39" s="5" t="b">
        <f t="shared" si="0"/>
        <v>1</v>
      </c>
      <c r="Z39" s="5" t="b">
        <f t="shared" si="1"/>
        <v>1</v>
      </c>
      <c r="AA39" s="5" t="b">
        <f t="shared" si="2"/>
        <v>1</v>
      </c>
      <c r="AB39" s="5" t="b">
        <f t="shared" si="3"/>
        <v>1</v>
      </c>
      <c r="AC39" s="5" t="b">
        <f t="shared" si="4"/>
        <v>1</v>
      </c>
      <c r="AD39" s="5" t="b">
        <f t="shared" si="5"/>
        <v>1</v>
      </c>
      <c r="AE39" s="5" t="b">
        <f t="shared" si="7"/>
        <v>1</v>
      </c>
      <c r="AF39" s="5" t="b">
        <f t="shared" si="7"/>
        <v>1</v>
      </c>
      <c r="AG39" s="5" t="b">
        <f t="shared" si="7"/>
        <v>1</v>
      </c>
      <c r="AH39" s="5" t="b">
        <f t="shared" si="7"/>
        <v>1</v>
      </c>
      <c r="AI39" s="5" t="b">
        <f t="shared" si="7"/>
        <v>1</v>
      </c>
    </row>
    <row r="40" spans="2:35" ht="14.15" customHeight="1">
      <c r="B40" s="1"/>
      <c r="C40" s="58"/>
      <c r="D40" s="59"/>
      <c r="E40" s="57"/>
      <c r="F40" s="57"/>
      <c r="G40" s="60"/>
      <c r="H40" s="65"/>
      <c r="I40" s="66"/>
      <c r="J40" s="67"/>
      <c r="K40" s="67"/>
      <c r="L40" s="68"/>
      <c r="N40" s="1"/>
      <c r="O40" s="50"/>
      <c r="P40" s="51"/>
      <c r="Q40" s="51"/>
      <c r="R40" s="51"/>
      <c r="S40" s="52"/>
      <c r="T40" s="16"/>
      <c r="U40" s="13"/>
      <c r="V40" s="14"/>
      <c r="W40" s="14"/>
      <c r="X40" s="15"/>
      <c r="Y40" s="5" t="b">
        <f t="shared" si="0"/>
        <v>1</v>
      </c>
      <c r="Z40" s="5" t="b">
        <f t="shared" si="1"/>
        <v>1</v>
      </c>
      <c r="AA40" s="5" t="b">
        <f t="shared" si="2"/>
        <v>1</v>
      </c>
      <c r="AB40" s="5" t="b">
        <f t="shared" si="3"/>
        <v>1</v>
      </c>
      <c r="AC40" s="5" t="b">
        <f t="shared" si="4"/>
        <v>1</v>
      </c>
      <c r="AD40" s="5" t="b">
        <f t="shared" si="5"/>
        <v>1</v>
      </c>
      <c r="AE40" s="5" t="b">
        <f t="shared" ref="AE40:AI40" si="8">EXACT(T40,H40)</f>
        <v>1</v>
      </c>
      <c r="AF40" s="5" t="b">
        <f t="shared" si="8"/>
        <v>1</v>
      </c>
      <c r="AG40" s="5" t="b">
        <f t="shared" si="8"/>
        <v>1</v>
      </c>
      <c r="AH40" s="5" t="b">
        <f t="shared" si="8"/>
        <v>1</v>
      </c>
      <c r="AI40" s="5" t="b">
        <f t="shared" si="8"/>
        <v>1</v>
      </c>
    </row>
    <row r="41" spans="2:35" ht="14.15" customHeight="1">
      <c r="B41" s="1"/>
      <c r="C41" s="58"/>
      <c r="D41" s="59"/>
      <c r="E41" s="57"/>
      <c r="F41" s="57"/>
      <c r="G41" s="60"/>
      <c r="H41" s="65"/>
      <c r="I41" s="66"/>
      <c r="J41" s="67"/>
      <c r="K41" s="67"/>
      <c r="L41" s="68"/>
      <c r="N41" s="1"/>
      <c r="O41" s="48"/>
      <c r="S41" s="53"/>
      <c r="T41" s="48"/>
      <c r="U41" s="13"/>
      <c r="V41" s="14"/>
      <c r="W41" s="14"/>
      <c r="X41" s="15"/>
      <c r="Y41" s="5" t="b">
        <f t="shared" si="0"/>
        <v>1</v>
      </c>
      <c r="Z41" s="5" t="b">
        <f t="shared" ref="Z41:Z43" si="9">EXACT(O41,C41)</f>
        <v>1</v>
      </c>
      <c r="AA41" s="5" t="b">
        <f t="shared" ref="AA41:AA43" si="10">EXACT(P41,D41)</f>
        <v>1</v>
      </c>
      <c r="AB41" s="5" t="b">
        <f t="shared" ref="AB41:AB43" si="11">EXACT(Q41,E41)</f>
        <v>1</v>
      </c>
      <c r="AC41" s="5" t="b">
        <f t="shared" ref="AC41:AC43" si="12">EXACT(R41,F41)</f>
        <v>1</v>
      </c>
      <c r="AD41" s="5" t="b">
        <f t="shared" ref="AD41:AD43" si="13">EXACT(S41,G41)</f>
        <v>1</v>
      </c>
      <c r="AE41" s="5" t="b">
        <f t="shared" ref="AE41:AE43" si="14">EXACT(T41,H41)</f>
        <v>1</v>
      </c>
      <c r="AF41" s="5" t="b">
        <f t="shared" ref="AF41:AF43" si="15">EXACT(U41,I41)</f>
        <v>1</v>
      </c>
      <c r="AG41" s="5" t="b">
        <f t="shared" ref="AG41:AG43" si="16">EXACT(V41,J41)</f>
        <v>1</v>
      </c>
      <c r="AH41" s="5" t="b">
        <f t="shared" ref="AH41:AH43" si="17">EXACT(W41,K41)</f>
        <v>1</v>
      </c>
      <c r="AI41" s="5" t="b">
        <f t="shared" ref="AI41:AI43" si="18">EXACT(X41,L41)</f>
        <v>1</v>
      </c>
    </row>
    <row r="42" spans="2:35" ht="14.15" customHeight="1">
      <c r="B42" s="1"/>
      <c r="C42" s="58"/>
      <c r="D42" s="59"/>
      <c r="E42" s="57"/>
      <c r="F42" s="57"/>
      <c r="G42" s="60"/>
      <c r="H42" s="65"/>
      <c r="I42" s="66"/>
      <c r="J42" s="67"/>
      <c r="K42" s="67"/>
      <c r="L42" s="68"/>
      <c r="N42" s="1"/>
      <c r="O42" s="26"/>
      <c r="P42" s="27"/>
      <c r="Q42" s="25"/>
      <c r="R42" s="25"/>
      <c r="S42" s="28"/>
      <c r="T42" s="16"/>
      <c r="U42" s="13"/>
      <c r="V42" s="14"/>
      <c r="W42" s="14"/>
      <c r="X42" s="15"/>
      <c r="Y42" s="5" t="b">
        <f t="shared" si="0"/>
        <v>1</v>
      </c>
      <c r="Z42" s="5" t="b">
        <f t="shared" si="9"/>
        <v>1</v>
      </c>
      <c r="AA42" s="5" t="b">
        <f t="shared" si="10"/>
        <v>1</v>
      </c>
      <c r="AB42" s="5" t="b">
        <f t="shared" si="11"/>
        <v>1</v>
      </c>
      <c r="AC42" s="5" t="b">
        <f t="shared" si="12"/>
        <v>1</v>
      </c>
      <c r="AD42" s="5" t="b">
        <f t="shared" si="13"/>
        <v>1</v>
      </c>
      <c r="AE42" s="5" t="b">
        <f t="shared" si="14"/>
        <v>1</v>
      </c>
      <c r="AF42" s="5" t="b">
        <f t="shared" si="15"/>
        <v>1</v>
      </c>
      <c r="AG42" s="5" t="b">
        <f t="shared" si="16"/>
        <v>1</v>
      </c>
      <c r="AH42" s="5" t="b">
        <f t="shared" si="17"/>
        <v>1</v>
      </c>
      <c r="AI42" s="5" t="b">
        <f t="shared" si="18"/>
        <v>1</v>
      </c>
    </row>
    <row r="43" spans="2:35" ht="14.15" customHeight="1">
      <c r="B43" s="1"/>
      <c r="C43" s="58"/>
      <c r="D43" s="59"/>
      <c r="E43" s="57"/>
      <c r="F43" s="57"/>
      <c r="G43" s="60"/>
      <c r="H43" s="65"/>
      <c r="I43" s="66"/>
      <c r="J43" s="67"/>
      <c r="K43" s="67"/>
      <c r="L43" s="68"/>
      <c r="N43" s="1"/>
      <c r="O43" s="26"/>
      <c r="P43" s="27"/>
      <c r="Q43" s="25"/>
      <c r="R43" s="25"/>
      <c r="S43" s="28"/>
      <c r="T43" s="16"/>
      <c r="U43" s="13"/>
      <c r="V43" s="14"/>
      <c r="W43" s="14"/>
      <c r="X43" s="15"/>
      <c r="Y43" s="5" t="b">
        <f t="shared" si="0"/>
        <v>1</v>
      </c>
      <c r="Z43" s="5" t="b">
        <f t="shared" si="9"/>
        <v>1</v>
      </c>
      <c r="AA43" s="5" t="b">
        <f t="shared" si="10"/>
        <v>1</v>
      </c>
      <c r="AB43" s="5" t="b">
        <f t="shared" si="11"/>
        <v>1</v>
      </c>
      <c r="AC43" s="5" t="b">
        <f t="shared" si="12"/>
        <v>1</v>
      </c>
      <c r="AD43" s="5" t="b">
        <f t="shared" si="13"/>
        <v>1</v>
      </c>
      <c r="AE43" s="5" t="b">
        <f t="shared" si="14"/>
        <v>1</v>
      </c>
      <c r="AF43" s="5" t="b">
        <f t="shared" si="15"/>
        <v>1</v>
      </c>
      <c r="AG43" s="5" t="b">
        <f t="shared" si="16"/>
        <v>1</v>
      </c>
      <c r="AH43" s="5" t="b">
        <f t="shared" si="17"/>
        <v>1</v>
      </c>
      <c r="AI43" s="5" t="b">
        <f t="shared" si="18"/>
        <v>1</v>
      </c>
    </row>
    <row r="44" spans="2:35" ht="14.15" customHeight="1" thickBot="1">
      <c r="B44" s="31"/>
      <c r="C44" s="69"/>
      <c r="D44" s="70"/>
      <c r="E44" s="70"/>
      <c r="F44" s="70"/>
      <c r="G44" s="71"/>
      <c r="H44" s="72"/>
      <c r="I44" s="73"/>
      <c r="J44" s="74"/>
      <c r="K44" s="74"/>
      <c r="L44" s="75"/>
      <c r="N44" s="31"/>
      <c r="O44" s="49"/>
      <c r="P44" s="47"/>
      <c r="Q44" s="47"/>
      <c r="R44" s="47"/>
      <c r="S44" s="54"/>
      <c r="T44" s="49"/>
      <c r="U44" s="55"/>
      <c r="V44" s="56"/>
      <c r="W44" s="56"/>
      <c r="X44" s="54"/>
      <c r="Y44" s="5" t="b">
        <f t="shared" si="0"/>
        <v>1</v>
      </c>
      <c r="Z44" s="5" t="b">
        <f t="shared" ref="Z44" si="19">EXACT(O44,C44)</f>
        <v>1</v>
      </c>
      <c r="AA44" s="5" t="b">
        <f t="shared" ref="AA44" si="20">EXACT(P44,D44)</f>
        <v>1</v>
      </c>
      <c r="AB44" s="5" t="b">
        <f t="shared" ref="AB44" si="21">EXACT(Q44,E44)</f>
        <v>1</v>
      </c>
      <c r="AC44" s="5" t="b">
        <f t="shared" ref="AC44" si="22">EXACT(R44,F44)</f>
        <v>1</v>
      </c>
      <c r="AD44" s="5" t="b">
        <f t="shared" ref="AD44" si="23">EXACT(S44,G44)</f>
        <v>1</v>
      </c>
      <c r="AE44" s="5" t="b">
        <f t="shared" ref="AE44" si="24">EXACT(T44,H44)</f>
        <v>1</v>
      </c>
      <c r="AF44" s="5" t="b">
        <f t="shared" ref="AF44" si="25">EXACT(U44,I44)</f>
        <v>1</v>
      </c>
      <c r="AG44" s="5" t="b">
        <f t="shared" ref="AG44" si="26">EXACT(V44,J44)</f>
        <v>1</v>
      </c>
      <c r="AH44" s="5" t="b">
        <f t="shared" ref="AH44" si="27">EXACT(W44,K44)</f>
        <v>1</v>
      </c>
      <c r="AI44" s="5" t="b">
        <f t="shared" ref="AI44" si="28">EXACT(X44,L44)</f>
        <v>1</v>
      </c>
    </row>
  </sheetData>
  <autoFilter ref="A11:AI11" xr:uid="{309435B8-0F58-4899-A3B7-19F3D02D9C09}"/>
  <sortState xmlns:xlrd2="http://schemas.microsoft.com/office/spreadsheetml/2017/richdata2" ref="B12:L41">
    <sortCondition descending="1" ref="H12:H41"/>
  </sortState>
  <mergeCells count="6">
    <mergeCell ref="T10:X10"/>
    <mergeCell ref="C9:G9"/>
    <mergeCell ref="H9:L9"/>
    <mergeCell ref="C10:G10"/>
    <mergeCell ref="H10:L10"/>
    <mergeCell ref="O10:S10"/>
  </mergeCells>
  <phoneticPr fontId="2"/>
  <conditionalFormatting sqref="Y12:AI44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608AF-330C-43AD-8565-FE26D1736970}">
  <sheetPr codeName="Sheet9"/>
  <dimension ref="C2:C4"/>
  <sheetViews>
    <sheetView tabSelected="1" workbookViewId="0">
      <selection activeCell="D21" sqref="D21"/>
    </sheetView>
  </sheetViews>
  <sheetFormatPr defaultRowHeight="18"/>
  <sheetData>
    <row r="2" spans="3:3">
      <c r="C2" s="114" t="s">
        <v>49</v>
      </c>
    </row>
    <row r="3" spans="3:3">
      <c r="C3" s="114" t="s">
        <v>54</v>
      </c>
    </row>
    <row r="4" spans="3:3">
      <c r="C4" s="114" t="s">
        <v>82</v>
      </c>
    </row>
  </sheetData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86472-9C99-4D37-8C09-8C626195371A}">
  <sheetPr codeName="Sheet10"/>
  <dimension ref="A1:D1"/>
  <sheetViews>
    <sheetView zoomScale="55" zoomScaleNormal="55" workbookViewId="0">
      <pane ySplit="1" topLeftCell="A8" activePane="bottomLeft" state="frozen"/>
      <selection pane="bottomLeft" activeCell="F21" sqref="F21"/>
    </sheetView>
  </sheetViews>
  <sheetFormatPr defaultColWidth="45.58203125" defaultRowHeight="18"/>
  <cols>
    <col min="1" max="1" width="45.58203125" style="104" customWidth="1"/>
    <col min="2" max="2" width="49" style="105" customWidth="1"/>
    <col min="3" max="3" width="45.58203125" style="106"/>
    <col min="4" max="4" width="45.58203125" style="107"/>
  </cols>
  <sheetData>
    <row r="1" spans="1:4">
      <c r="A1" s="108" t="s">
        <v>50</v>
      </c>
      <c r="B1" s="109" t="s">
        <v>51</v>
      </c>
      <c r="C1" s="110" t="s">
        <v>52</v>
      </c>
      <c r="D1" s="111" t="s">
        <v>53</v>
      </c>
    </row>
  </sheetData>
  <phoneticPr fontId="2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9" ma:contentTypeDescription="Create a new document." ma:contentTypeScope="" ma:versionID="807e52229564a88a96b4fad33c556a68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d4eb32497ffa329556022f31044bbe4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800fe1a-de70-4134-97c0-3f20be222615">
      <Terms xmlns="http://schemas.microsoft.com/office/infopath/2007/PartnerControls"/>
    </lcf76f155ced4ddcb4097134ff3c332f>
    <_Flow_SignoffStatus xmlns="2800fe1a-de70-4134-97c0-3f20be222615" xsi:nil="true"/>
    <TaxCatchAll xmlns="9dd3bebe-02df-40bc-82d6-69dfec61ed77" xsi:nil="true"/>
  </documentManagement>
</p:properties>
</file>

<file path=customXml/itemProps1.xml><?xml version="1.0" encoding="utf-8"?>
<ds:datastoreItem xmlns:ds="http://schemas.openxmlformats.org/officeDocument/2006/customXml" ds:itemID="{7599E59C-B04F-4AAD-8652-DFCCF3DDE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2C46D1-EEC9-47ED-BAAF-A5D084BB9F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137CF2-976F-415B-A436-3E2DFD93800D}">
  <ds:schemaRefs>
    <ds:schemaRef ds:uri="http://schemas.microsoft.com/office/2006/metadata/properties"/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2800fe1a-de70-4134-97c0-3f20be222615"/>
    <ds:schemaRef ds:uri="http://schemas.openxmlformats.org/package/2006/metadata/core-properties"/>
    <ds:schemaRef ds:uri="http://schemas.microsoft.com/office/infopath/2007/PartnerControls"/>
    <ds:schemaRef ds:uri="9dd3bebe-02df-40bc-82d6-69dfec61ed77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メモ</vt:lpstr>
      <vt:lpstr>4(旧)</vt:lpstr>
      <vt:lpstr>4</vt:lpstr>
      <vt:lpstr>720h残時間</vt:lpstr>
      <vt:lpstr>8(旧)</vt:lpstr>
      <vt:lpstr>マクロ</vt:lpstr>
      <vt:lpstr>チャート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Takakura, Rie</dc:creator>
  <cp:keywords/>
  <dc:description/>
  <cp:lastModifiedBy>Hattori, Takao</cp:lastModifiedBy>
  <cp:revision/>
  <dcterms:created xsi:type="dcterms:W3CDTF">2022-04-22T02:49:38Z</dcterms:created>
  <dcterms:modified xsi:type="dcterms:W3CDTF">2026-01-30T08:24:21Z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  <property fmtid="{D5CDD505-2E9C-101B-9397-08002B2CF9AE}" pid="4" name="Order">
    <vt:r8>2600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