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2025年度/"/>
    </mc:Choice>
  </mc:AlternateContent>
  <xr:revisionPtr revIDLastSave="142" documentId="8_{3E4C2F84-A521-4DC4-A3DA-08B562A4CEB9}" xr6:coauthVersionLast="47" xr6:coauthVersionMax="47" xr10:uidLastSave="{BE06FE3C-AB3E-4506-BBD6-C9024C6DF9B6}"/>
  <bookViews>
    <workbookView xWindow="-110" yWindow="-110" windowWidth="19420" windowHeight="11500" activeTab="1" xr2:uid="{F03B8515-56D2-458C-94AB-F39D5BE6A11D}"/>
  </bookViews>
  <sheets>
    <sheet name="I&amp;D(FB件数)" sheetId="1" r:id="rId1"/>
    <sheet name="作業用 (I&amp;D集計用)" sheetId="2" r:id="rId2"/>
  </sheets>
  <externalReferences>
    <externalReference r:id="rId3"/>
  </externalReferences>
  <definedNames>
    <definedName name="_xlnm._FilterDatabase" localSheetId="0" hidden="1">'I&amp;D(FB件数)'!$D$3:$F$119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2" l="1"/>
  <c r="I18" i="2"/>
  <c r="I17" i="2"/>
  <c r="I16" i="2"/>
  <c r="I15" i="2"/>
  <c r="H19" i="2"/>
  <c r="H18" i="2"/>
  <c r="H17" i="2"/>
  <c r="H16" i="2"/>
  <c r="H15" i="2"/>
  <c r="G19" i="2"/>
  <c r="G18" i="2"/>
  <c r="G17" i="2"/>
  <c r="G16" i="2"/>
  <c r="G15" i="2"/>
  <c r="F19" i="2"/>
  <c r="F18" i="2"/>
  <c r="F17" i="2"/>
  <c r="F16" i="2"/>
  <c r="F15" i="2"/>
  <c r="E19" i="2"/>
  <c r="E18" i="2"/>
  <c r="E17" i="2"/>
  <c r="E16" i="2"/>
  <c r="E15" i="2"/>
  <c r="D19" i="2"/>
  <c r="D18" i="2"/>
  <c r="D17" i="2"/>
  <c r="D16" i="2"/>
  <c r="D15" i="2"/>
  <c r="C19" i="2" l="1"/>
  <c r="C18" i="2"/>
  <c r="C17" i="2"/>
  <c r="C16" i="2"/>
  <c r="C15" i="2"/>
  <c r="B19" i="2"/>
  <c r="B18" i="2"/>
  <c r="B17" i="2"/>
  <c r="B16" i="2"/>
  <c r="B15" i="2"/>
  <c r="J120" i="1"/>
  <c r="H120" i="1"/>
  <c r="G120" i="1"/>
  <c r="F120" i="1"/>
  <c r="E120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120" i="1" s="1"/>
</calcChain>
</file>

<file path=xl/sharedStrings.xml><?xml version="1.0" encoding="utf-8"?>
<sst xmlns="http://schemas.openxmlformats.org/spreadsheetml/2006/main" count="439" uniqueCount="152">
  <si>
    <t>FY24/A1031_I&amp;D_Women's stories記事配信_FB件数</t>
    <rPh sb="37" eb="39">
      <t>ケンスウ</t>
    </rPh>
    <phoneticPr fontId="2"/>
  </si>
  <si>
    <t>※記事作成/英訳追加を①、Teams配信を②、メール配信を③とする</t>
    <rPh sb="1" eb="3">
      <t>キジ</t>
    </rPh>
    <rPh sb="3" eb="5">
      <t>サクセイ</t>
    </rPh>
    <rPh sb="6" eb="8">
      <t>エイヤク</t>
    </rPh>
    <rPh sb="8" eb="10">
      <t>ツイカ</t>
    </rPh>
    <rPh sb="18" eb="20">
      <t>ハイシン</t>
    </rPh>
    <rPh sb="26" eb="28">
      <t>ハイシン</t>
    </rPh>
    <phoneticPr fontId="2"/>
  </si>
  <si>
    <t>対象</t>
    <rPh sb="0" eb="2">
      <t>タイショウ0</t>
    </rPh>
    <phoneticPr fontId="2"/>
  </si>
  <si>
    <t>列2</t>
  </si>
  <si>
    <t>工程</t>
    <rPh sb="0" eb="2">
      <t>コウテイ</t>
    </rPh>
    <phoneticPr fontId="2"/>
  </si>
  <si>
    <t>担当者</t>
    <rPh sb="0" eb="3">
      <t>タントウシャ</t>
    </rPh>
    <phoneticPr fontId="2"/>
  </si>
  <si>
    <t>ケアレスミス</t>
  </si>
  <si>
    <t>解釈</t>
    <rPh sb="0" eb="2">
      <t>カイシャク0</t>
    </rPh>
    <phoneticPr fontId="2"/>
  </si>
  <si>
    <t>マニュアル</t>
    <phoneticPr fontId="2"/>
  </si>
  <si>
    <t>その他</t>
    <rPh sb="2" eb="3">
      <t>タ</t>
    </rPh>
    <phoneticPr fontId="2"/>
  </si>
  <si>
    <t>FB数合計</t>
    <rPh sb="0" eb="5">
      <t>スウ0</t>
    </rPh>
    <phoneticPr fontId="2"/>
  </si>
  <si>
    <t>インシデント</t>
    <phoneticPr fontId="2"/>
  </si>
  <si>
    <t>列1</t>
  </si>
  <si>
    <t>0158</t>
    <phoneticPr fontId="2"/>
  </si>
  <si>
    <t>①</t>
    <phoneticPr fontId="2"/>
  </si>
  <si>
    <t>ダイクス</t>
    <phoneticPr fontId="2"/>
  </si>
  <si>
    <t>0159</t>
    <phoneticPr fontId="2"/>
  </si>
  <si>
    <t>②</t>
    <phoneticPr fontId="2"/>
  </si>
  <si>
    <t>木村</t>
    <rPh sb="0" eb="2">
      <t>キムラ</t>
    </rPh>
    <phoneticPr fontId="2"/>
  </si>
  <si>
    <t>0160</t>
    <phoneticPr fontId="2"/>
  </si>
  <si>
    <t>③</t>
    <phoneticPr fontId="2"/>
  </si>
  <si>
    <t>中野</t>
    <rPh sb="0" eb="2">
      <t>ナカノ</t>
    </rPh>
    <phoneticPr fontId="2"/>
  </si>
  <si>
    <t>※チェック後に送信ミスあり</t>
    <rPh sb="5" eb="6">
      <t>ゴ</t>
    </rPh>
    <rPh sb="7" eb="9">
      <t>ソウシン</t>
    </rPh>
    <phoneticPr fontId="2"/>
  </si>
  <si>
    <t>0162</t>
    <phoneticPr fontId="2"/>
  </si>
  <si>
    <t>※直接修正あり</t>
    <rPh sb="1" eb="3">
      <t>チョクセツ</t>
    </rPh>
    <rPh sb="3" eb="5">
      <t>シュウセイ</t>
    </rPh>
    <phoneticPr fontId="2"/>
  </si>
  <si>
    <t>0163</t>
    <phoneticPr fontId="2"/>
  </si>
  <si>
    <t>0164</t>
  </si>
  <si>
    <t>0165</t>
  </si>
  <si>
    <t>渡邊</t>
    <rPh sb="0" eb="2">
      <t>ワタナベ</t>
    </rPh>
    <phoneticPr fontId="2"/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</si>
  <si>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</si>
  <si>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</si>
  <si>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</si>
  <si>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</si>
  <si>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</si>
  <si>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</si>
  <si>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</si>
  <si>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</si>
  <si>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</si>
  <si>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</si>
  <si>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</si>
  <si>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</si>
  <si>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</si>
  <si>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</si>
  <si>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</si>
  <si>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</si>
  <si>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</si>
  <si>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</si>
  <si>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</si>
  <si>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</si>
  <si>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</si>
  <si>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</si>
  <si>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0188</t>
  </si>
  <si>
    <t>0189</t>
  </si>
  <si>
    <t>0190</t>
  </si>
  <si>
    <t>0191</t>
  </si>
  <si>
    <t>※直接修正あり</t>
    <rPh sb="1" eb="5">
      <t>チョクセツシュウセイ</t>
    </rPh>
    <phoneticPr fontId="2"/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</si>
  <si>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</si>
  <si>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</si>
  <si>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</si>
  <si>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</si>
  <si>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</si>
  <si>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</si>
  <si>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</si>
  <si>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</si>
  <si>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</si>
  <si>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</si>
  <si>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</si>
  <si>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</si>
  <si>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</si>
  <si>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</si>
  <si>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</si>
  <si>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</si>
  <si>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</si>
  <si>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</si>
  <si>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</si>
  <si>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</si>
  <si>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</si>
  <si>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</si>
  <si>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0213</t>
    <phoneticPr fontId="2"/>
  </si>
  <si>
    <t>0214</t>
  </si>
  <si>
    <t>0215</t>
  </si>
  <si>
    <t>0216</t>
  </si>
  <si>
    <t>0217</t>
  </si>
  <si>
    <t>0218</t>
  </si>
  <si>
    <t>0219</t>
  </si>
  <si>
    <t>0220</t>
    <phoneticPr fontId="2"/>
  </si>
  <si>
    <t>野沢</t>
    <rPh sb="0" eb="2">
      <t>ノザワ</t>
    </rPh>
    <phoneticPr fontId="2"/>
  </si>
  <si>
    <t>0221</t>
    <phoneticPr fontId="2"/>
  </si>
  <si>
    <t>0222</t>
    <phoneticPr fontId="2"/>
  </si>
  <si>
    <t>0223</t>
  </si>
  <si>
    <t>江藤</t>
    <rPh sb="0" eb="2">
      <t>エトウ</t>
    </rPh>
    <phoneticPr fontId="2"/>
  </si>
  <si>
    <t>0224</t>
  </si>
  <si>
    <t>ダイクス</t>
  </si>
  <si>
    <t>0225</t>
  </si>
  <si>
    <t>0226</t>
  </si>
  <si>
    <t>※チェック後にWordPress公開ミスあり</t>
    <rPh sb="5" eb="6">
      <t>ゴ</t>
    </rPh>
    <rPh sb="16" eb="18">
      <t>コウカイ</t>
    </rPh>
    <phoneticPr fontId="2"/>
  </si>
  <si>
    <t>0227</t>
  </si>
  <si>
    <t>0228</t>
  </si>
  <si>
    <t>0229</t>
  </si>
  <si>
    <t>0230</t>
  </si>
  <si>
    <t>0231</t>
    <phoneticPr fontId="2"/>
  </si>
  <si>
    <t>0232</t>
    <phoneticPr fontId="2"/>
  </si>
  <si>
    <t>0233</t>
    <phoneticPr fontId="2"/>
  </si>
  <si>
    <t>0234</t>
    <phoneticPr fontId="2"/>
  </si>
  <si>
    <t>0235</t>
    <phoneticPr fontId="2"/>
  </si>
  <si>
    <t>0236</t>
    <phoneticPr fontId="2"/>
  </si>
  <si>
    <t>0237</t>
    <phoneticPr fontId="2"/>
  </si>
  <si>
    <t>0238</t>
    <phoneticPr fontId="2"/>
  </si>
  <si>
    <t>谷口</t>
    <rPh sb="0" eb="2">
      <t>タニグチ</t>
    </rPh>
    <phoneticPr fontId="2"/>
  </si>
  <si>
    <t>0239</t>
    <phoneticPr fontId="2"/>
  </si>
  <si>
    <t>0240</t>
    <phoneticPr fontId="2"/>
  </si>
  <si>
    <t>0241</t>
    <phoneticPr fontId="2"/>
  </si>
  <si>
    <t>0242</t>
    <phoneticPr fontId="2"/>
  </si>
  <si>
    <t>0243</t>
    <phoneticPr fontId="2"/>
  </si>
  <si>
    <t>0244</t>
    <phoneticPr fontId="2"/>
  </si>
  <si>
    <t>0245</t>
    <phoneticPr fontId="2"/>
  </si>
  <si>
    <t>0246</t>
    <phoneticPr fontId="2"/>
  </si>
  <si>
    <t xml:space="preserve">0247 </t>
    <phoneticPr fontId="2"/>
  </si>
  <si>
    <t>0248</t>
    <phoneticPr fontId="2"/>
  </si>
  <si>
    <t>0249</t>
    <phoneticPr fontId="2"/>
  </si>
  <si>
    <t>0250</t>
    <phoneticPr fontId="2"/>
  </si>
  <si>
    <t>0251</t>
    <phoneticPr fontId="2"/>
  </si>
  <si>
    <t>0252</t>
    <phoneticPr fontId="2"/>
  </si>
  <si>
    <t>0253</t>
    <phoneticPr fontId="2"/>
  </si>
  <si>
    <t>0254</t>
    <phoneticPr fontId="2"/>
  </si>
  <si>
    <t>集計</t>
  </si>
  <si>
    <t>2024/8</t>
    <phoneticPr fontId="2"/>
  </si>
  <si>
    <t>2024/7</t>
    <phoneticPr fontId="2"/>
  </si>
  <si>
    <t>2024/6</t>
    <phoneticPr fontId="2"/>
  </si>
  <si>
    <t>2024/5</t>
    <phoneticPr fontId="2"/>
  </si>
  <si>
    <t>2024/4</t>
    <phoneticPr fontId="2"/>
  </si>
  <si>
    <t>2024/3</t>
    <phoneticPr fontId="2"/>
  </si>
  <si>
    <t>A1031.I&amp;D作業工程</t>
    <rPh sb="9" eb="13">
      <t>サギョウコウテイ</t>
    </rPh>
    <phoneticPr fontId="2"/>
  </si>
  <si>
    <t>年月を下に入力してください</t>
    <rPh sb="0" eb="2">
      <t>ネンツキ</t>
    </rPh>
    <rPh sb="3" eb="4">
      <t>シタ</t>
    </rPh>
    <rPh sb="5" eb="7">
      <t>ニュウリョク</t>
    </rPh>
    <phoneticPr fontId="2"/>
  </si>
  <si>
    <t>作業年月ピリオド</t>
    <rPh sb="0" eb="2">
      <t>サギョウ</t>
    </rPh>
    <rPh sb="2" eb="4">
      <t>ネンツキ</t>
    </rPh>
    <phoneticPr fontId="2"/>
  </si>
  <si>
    <t>項目/名前</t>
    <rPh sb="0" eb="2">
      <t>コウモク</t>
    </rPh>
    <rPh sb="3" eb="5">
      <t>ナマエ</t>
    </rPh>
    <phoneticPr fontId="2"/>
  </si>
  <si>
    <t>①</t>
  </si>
  <si>
    <t>②</t>
  </si>
  <si>
    <t>ケアレスミスFB数</t>
    <rPh sb="8" eb="9">
      <t>スウ</t>
    </rPh>
    <phoneticPr fontId="2"/>
  </si>
  <si>
    <t>解釈FB数</t>
    <rPh sb="0" eb="2">
      <t>カイシャク</t>
    </rPh>
    <rPh sb="4" eb="5">
      <t>スウ</t>
    </rPh>
    <phoneticPr fontId="2"/>
  </si>
  <si>
    <t>マニュアルFB数</t>
    <rPh sb="7" eb="8">
      <t>スウ</t>
    </rPh>
    <phoneticPr fontId="2"/>
  </si>
  <si>
    <t>その他FB数</t>
    <rPh sb="2" eb="3">
      <t>タ</t>
    </rPh>
    <phoneticPr fontId="2"/>
  </si>
  <si>
    <t>インシデントFB数</t>
    <rPh sb="8" eb="9">
      <t>スウ</t>
    </rPh>
    <phoneticPr fontId="2"/>
  </si>
  <si>
    <t>指摘項目/名前</t>
    <rPh sb="0" eb="4">
      <t>シテキコウモク</t>
    </rPh>
    <rPh sb="5" eb="7">
      <t>ナマエ</t>
    </rPh>
    <phoneticPr fontId="2"/>
  </si>
  <si>
    <t>渡邊</t>
  </si>
  <si>
    <t>稲葉</t>
    <rPh sb="0" eb="2">
      <t>イナバ</t>
    </rPh>
    <phoneticPr fontId="2"/>
  </si>
  <si>
    <t>ケアレスミス</t>
    <phoneticPr fontId="2"/>
  </si>
  <si>
    <t>解釈</t>
    <rPh sb="0" eb="2">
      <t>カイシャク</t>
    </rPh>
    <phoneticPr fontId="2"/>
  </si>
  <si>
    <t>江藤</t>
  </si>
  <si>
    <t>③</t>
  </si>
  <si>
    <t>谷口</t>
  </si>
  <si>
    <t>中野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</si>
</sst>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1" formatCode="yyyy&quot;年&quot;m&quot;月&quot;;@"/>
  </numFmts>
  <fonts count="6" x14ac:knownFonts="1">
    <font>
      <sz val="11"/>
      <color theme="1"/>
      <name val="游ゴシック"/>
      <family val="2"/>
      <charset val="128"/>
      <scheme val="minor"/>
    </font>
    <font>
      <sz val="12"/>
      <color rgb="FF00000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3"/>
    </font>
    <font>
      <b/>
      <sz val="11"/>
      <color rgb="FFFF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right" vertical="center"/>
    </xf>
    <xf numFmtId="0" fontId="0" fillId="0" borderId="7" xfId="0" applyBorder="1">
      <alignment vertical="center"/>
    </xf>
    <xf numFmtId="49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56" fontId="0" fillId="0" borderId="6" xfId="0" applyNumberFormat="1" applyBorder="1" applyAlignment="1">
      <alignment horizontal="center" vertical="center"/>
    </xf>
    <xf numFmtId="56" fontId="0" fillId="0" borderId="7" xfId="0" applyNumberFormat="1" applyBorder="1" applyAlignment="1">
      <alignment horizontal="center" vertical="center"/>
    </xf>
    <xf numFmtId="56" fontId="0" fillId="0" borderId="9" xfId="0" applyNumberFormat="1" applyBorder="1" applyAlignment="1">
      <alignment horizontal="center" vertical="center"/>
    </xf>
    <xf numFmtId="49" fontId="0" fillId="0" borderId="6" xfId="0" quotePrefix="1" applyNumberFormat="1" applyBorder="1" applyAlignment="1">
      <alignment horizontal="center" vertical="center"/>
    </xf>
    <xf numFmtId="49" fontId="0" fillId="0" borderId="8" xfId="0" quotePrefix="1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>
      <alignment vertical="center"/>
    </xf>
    <xf numFmtId="0" fontId="5" fillId="0" borderId="0" xfId="0" applyFont="1">
      <alignment vertical="center"/>
    </xf>
    <xf numFmtId="55" fontId="0" fillId="2" borderId="0" xfId="0" applyNumberFormat="1" applyFill="1">
      <alignment vertical="center"/>
    </xf>
    <xf numFmtId="0" fontId="0" fillId="3" borderId="7" xfId="0" applyFill="1" applyBorder="1">
      <alignment vertical="center"/>
    </xf>
    <xf numFmtId="0" fontId="0" fillId="3" borderId="7" xfId="0" applyFill="1" applyBorder="1" applyAlignment="1">
      <alignment horizontal="center" vertical="center"/>
    </xf>
    <xf numFmtId="0" fontId="0" fillId="4" borderId="7" xfId="0" applyFill="1" applyBorder="1">
      <alignment vertical="center"/>
    </xf>
    <xf numFmtId="0" fontId="4" fillId="4" borderId="7" xfId="0" applyFont="1" applyFill="1" applyBorder="1" applyAlignment="1">
      <alignment horizontal="right" vertical="center"/>
    </xf>
    <xf numFmtId="0" fontId="3" fillId="4" borderId="7" xfId="0" applyFont="1" applyFill="1" applyBorder="1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181" fontId="0" fillId="0" borderId="6" xfId="0" quotePrefix="1" applyNumberFormat="1" applyBorder="1" applyAlignment="1">
      <alignment horizontal="center" vertical="center"/>
    </xf>
  </cellXfs>
  <cellStyles count="1">
    <cellStyle name="標準" xfId="0" builtinId="0"/>
  </cellStyles>
  <dxfs count="25">
    <dxf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11</xdr:row>
      <xdr:rowOff>12700</xdr:rowOff>
    </xdr:from>
    <xdr:to>
      <xdr:col>14</xdr:col>
      <xdr:colOff>349250</xdr:colOff>
      <xdr:row>13</xdr:row>
      <xdr:rowOff>196850</xdr:rowOff>
    </xdr:to>
    <xdr:sp macro="[1]!Module2.IandD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71D0CBD-76DD-4870-9E8A-90F84096F728}"/>
            </a:ext>
          </a:extLst>
        </xdr:cNvPr>
        <xdr:cNvSpPr/>
      </xdr:nvSpPr>
      <xdr:spPr>
        <a:xfrm>
          <a:off x="13887450" y="2527300"/>
          <a:ext cx="1727200" cy="6413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  <xdr:twoCellAnchor>
    <xdr:from>
      <xdr:col>13</xdr:col>
      <xdr:colOff>0</xdr:colOff>
      <xdr:row>5</xdr:row>
      <xdr:rowOff>25400</xdr:rowOff>
    </xdr:from>
    <xdr:to>
      <xdr:col>14</xdr:col>
      <xdr:colOff>298450</xdr:colOff>
      <xdr:row>8</xdr:row>
      <xdr:rowOff>31750</xdr:rowOff>
    </xdr:to>
    <xdr:sp macro="[0]!iandd_Ma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5523563-DAF8-48C6-BF7E-82206A7A4541}"/>
            </a:ext>
          </a:extLst>
        </xdr:cNvPr>
        <xdr:cNvSpPr/>
      </xdr:nvSpPr>
      <xdr:spPr>
        <a:xfrm>
          <a:off x="13874750" y="1168400"/>
          <a:ext cx="1689100" cy="6921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データクリア及び集計シートデータコピー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.accenture.com/sites/Namamugi_Tachikawa_Satellite/Shared%20Documents/02_team/011010_&#29983;&#40614;X/GL/&#12469;&#12509;&#12540;&#12488;&#12464;&#12523;&#12540;&#12503;/&#20214;&#25968;&#38598;&#32004;/FB&#38598;&#35336;/FB&#38598;&#35336;&#34920;(4&#26376;&#20197;&#38477;)_ver2.01.xlsm" TargetMode="External"/><Relationship Id="rId1" Type="http://schemas.openxmlformats.org/officeDocument/2006/relationships/externalLinkPath" Target="https://ts.accenture.com/sites/Namamugi_Tachikawa_Satellite/Shared%20Documents/02_team/011010_&#29983;&#40614;X/GL/&#12469;&#12509;&#12540;&#12488;&#12464;&#12523;&#12540;&#12503;/&#20214;&#25968;&#38598;&#32004;/FB&#38598;&#35336;/FB&#38598;&#35336;&#34920;(4&#26376;&#20197;&#38477;)_ver2.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yTe(FB件数)"/>
      <sheetName val="myTE 累積棒グラフ"/>
      <sheetName val="I&amp;D(FB件数)"/>
      <sheetName val="I&amp;D 累積棒グラフ"/>
      <sheetName val="人事異動・組織改編(FB件数)"/>
      <sheetName val="人事異動累積棒グラフ"/>
      <sheetName val="サーバールーム(FB件数)"/>
      <sheetName val="サーバールーム累積件数グラフ"/>
      <sheetName val="中計決算50社(FB件数)"/>
      <sheetName val="中計決算50社累積件数グラフ"/>
      <sheetName val="集計方法"/>
      <sheetName val="作業用 (myTE集計用)"/>
      <sheetName val="作業用 (I&amp;D集計用)"/>
      <sheetName val="作業用 (人事異動集計用)"/>
      <sheetName val="作業用 (中計決算50社)"/>
      <sheetName val="ここから先は今後使用予定→"/>
      <sheetName val="Jpit請求書(FB件数)"/>
      <sheetName val="Jpit請求書累積件数グラフ"/>
      <sheetName val="Update History"/>
      <sheetName val="→ここから先は使用しない"/>
      <sheetName val="myTE 累積棒グラフ(2023年9月～2024年3月)"/>
      <sheetName val="I&amp;D 累積棒グラフ(2023年9月～2024年3月)"/>
      <sheetName val="人事異動・組織改編累積件数グラフ(2024年1月～3月)"/>
      <sheetName val="服部案 (myTE202401-202403)"/>
      <sheetName val="服部案 (myTE02309-202312)"/>
      <sheetName val="I&amp;D 202401-202403"/>
      <sheetName val="I&amp;D202309-202312 "/>
      <sheetName val="人事異動 202404-"/>
      <sheetName val="人事異動 202401-202402"/>
      <sheetName val="人事異動FB率 202401-202402"/>
      <sheetName val="大竹案 (2)"/>
      <sheetName val="服部案"/>
      <sheetName val="服部案(FB推移グラフ)"/>
      <sheetName val="人事異動・組織改編累FB率グラフ"/>
      <sheetName val="myTE　グラフテスト"/>
      <sheetName val="メンバー"/>
    </sheetNames>
    <definedNames>
      <definedName name="Module2.IandD_Insert_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8354FA-19F4-41CF-A847-E48395D9B300}" name="テーブル13" displayName="テーブル13" ref="A3:K120" totalsRowCount="1" headerRowDxfId="24" headerRowBorderDxfId="22" tableBorderDxfId="23" totalsRowBorderDxfId="21">
  <autoFilter ref="A3:K119" xr:uid="{5A01C656-1144-422A-BFF1-BD4AE42E7E92}"/>
  <tableColumns count="11">
    <tableColumn id="1" xr3:uid="{83A277EE-5068-428D-83DD-9E1590ED7C30}" name="対象" totalsRowLabel="集計" dataDxfId="20" totalsRowDxfId="10"/>
    <tableColumn id="11" xr3:uid="{E80B283B-D513-4A6E-845F-944AE7788C78}" name="列2" dataDxfId="19" totalsRowDxfId="9"/>
    <tableColumn id="7" xr3:uid="{2C33B0F4-883A-4D44-97B9-A35503E73DE9}" name="工程" dataDxfId="18" totalsRowDxfId="8"/>
    <tableColumn id="2" xr3:uid="{533EBA8C-4462-4E7C-8C54-576D57219F6D}" name="担当者" dataDxfId="17" totalsRowDxfId="7"/>
    <tableColumn id="3" xr3:uid="{F3024021-E62B-4DCA-ACF5-C9DDE996E704}" name="ケアレスミス" totalsRowFunction="sum" dataDxfId="16" totalsRowDxfId="6"/>
    <tableColumn id="5" xr3:uid="{2F939184-EA27-4FE6-9E15-122A1EAB5B6C}" name="解釈" totalsRowFunction="sum" dataDxfId="15" totalsRowDxfId="5"/>
    <tableColumn id="4" xr3:uid="{5B0CDF8A-93A9-4546-A141-8EC432761954}" name="マニュアル" totalsRowFunction="sum" dataDxfId="14" totalsRowDxfId="4"/>
    <tableColumn id="8" xr3:uid="{0C1CE1E0-D0C9-4E79-A262-95903B96DCC7}" name="その他" totalsRowFunction="sum" dataDxfId="13" totalsRowDxfId="3"/>
    <tableColumn id="6" xr3:uid="{B6E9328C-585F-4C4C-A43C-B8A10F631A25}" name="FB数合計" totalsRowFunction="sum" dataDxfId="12" totalsRowDxfId="2"/>
    <tableColumn id="9" xr3:uid="{DA2D5296-A48E-41DB-8C44-7B34901A4E1E}" name="インシデント" totalsRowFunction="sum" dataDxfId="11" totalsRowDxfId="1"/>
    <tableColumn id="10" xr3:uid="{05E9658D-38E0-45D5-995F-B289300E468D}" name="列1" totalsRow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BB9F1-D681-4536-8AA8-9B3EC70962E7}">
  <sheetPr codeName="Sheet3">
    <tabColor rgb="FF0070C0"/>
  </sheetPr>
  <dimension ref="A1:N120"/>
  <sheetViews>
    <sheetView workbookViewId="0">
      <pane ySplit="3" topLeftCell="A91" activePane="bottomLeft" state="frozen"/>
      <selection pane="bottomLeft" activeCell="B94" sqref="B94"/>
    </sheetView>
  </sheetViews>
  <sheetFormatPr defaultRowHeight="18" x14ac:dyDescent="0.55000000000000004"/>
  <cols>
    <col min="1" max="1" width="9.5" customWidth="1"/>
    <col min="2" max="2" width="12.9140625" bestFit="1" customWidth="1"/>
    <col min="3" max="3" width="6.6640625" style="5" customWidth="1"/>
    <col min="4" max="4" width="10.58203125" customWidth="1"/>
    <col min="5" max="5" width="13.58203125" customWidth="1"/>
    <col min="6" max="6" width="7" customWidth="1"/>
    <col min="7" max="7" width="12.1640625" customWidth="1"/>
    <col min="8" max="8" width="9.5" customWidth="1"/>
    <col min="9" max="10" width="10.58203125" customWidth="1"/>
    <col min="11" max="11" width="8.83203125" bestFit="1" customWidth="1"/>
    <col min="12" max="17" width="9.5" bestFit="1" customWidth="1"/>
  </cols>
  <sheetData>
    <row r="1" spans="1:14" x14ac:dyDescent="0.55000000000000004">
      <c r="A1" s="1" t="s">
        <v>0</v>
      </c>
      <c r="B1" s="1"/>
      <c r="C1" s="2"/>
      <c r="D1" s="3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x14ac:dyDescent="0.55000000000000004">
      <c r="K2" t="s">
        <v>1</v>
      </c>
    </row>
    <row r="3" spans="1:14" x14ac:dyDescent="0.55000000000000004">
      <c r="A3" s="6" t="s">
        <v>2</v>
      </c>
      <c r="B3" s="6" t="s">
        <v>3</v>
      </c>
      <c r="C3" s="6" t="s">
        <v>4</v>
      </c>
      <c r="D3" s="7" t="s">
        <v>5</v>
      </c>
      <c r="E3" s="8" t="s">
        <v>6</v>
      </c>
      <c r="F3" s="9" t="s">
        <v>7</v>
      </c>
      <c r="G3" s="10" t="s">
        <v>8</v>
      </c>
      <c r="H3" s="10" t="s">
        <v>9</v>
      </c>
      <c r="I3" s="10" t="s">
        <v>10</v>
      </c>
      <c r="J3" s="9" t="s">
        <v>11</v>
      </c>
      <c r="K3" s="11" t="s">
        <v>12</v>
      </c>
    </row>
    <row r="4" spans="1:14" x14ac:dyDescent="0.55000000000000004">
      <c r="A4" s="12" t="s">
        <v>13</v>
      </c>
      <c r="B4" s="12" t="s">
        <v>131</v>
      </c>
      <c r="C4" s="12" t="s">
        <v>14</v>
      </c>
      <c r="D4" s="13" t="s">
        <v>15</v>
      </c>
      <c r="E4" s="14">
        <v>0</v>
      </c>
      <c r="F4" s="14">
        <v>0</v>
      </c>
      <c r="G4" s="14">
        <v>0</v>
      </c>
      <c r="H4" s="14">
        <v>0</v>
      </c>
      <c r="I4" s="15">
        <f>SUM(E4,F4)</f>
        <v>0</v>
      </c>
      <c r="J4" s="15">
        <v>0</v>
      </c>
    </row>
    <row r="5" spans="1:14" x14ac:dyDescent="0.55000000000000004">
      <c r="A5" s="12" t="s">
        <v>16</v>
      </c>
      <c r="B5" s="12" t="s">
        <v>131</v>
      </c>
      <c r="C5" s="12" t="s">
        <v>17</v>
      </c>
      <c r="D5" s="13" t="s">
        <v>18</v>
      </c>
      <c r="E5" s="14">
        <v>0</v>
      </c>
      <c r="F5" s="14">
        <v>0</v>
      </c>
      <c r="G5" s="14">
        <v>0</v>
      </c>
      <c r="H5" s="14">
        <v>0</v>
      </c>
      <c r="I5" s="15">
        <f t="shared" ref="I5:I68" si="0">SUM(E5,F5)</f>
        <v>0</v>
      </c>
      <c r="J5" s="15">
        <v>0</v>
      </c>
    </row>
    <row r="6" spans="1:14" x14ac:dyDescent="0.55000000000000004">
      <c r="A6" s="12" t="s">
        <v>19</v>
      </c>
      <c r="B6" s="12" t="s">
        <v>131</v>
      </c>
      <c r="C6" s="12" t="s">
        <v>20</v>
      </c>
      <c r="D6" s="13" t="s">
        <v>21</v>
      </c>
      <c r="E6" s="14">
        <v>3</v>
      </c>
      <c r="F6" s="14">
        <v>2</v>
      </c>
      <c r="G6" s="14">
        <v>0</v>
      </c>
      <c r="H6" s="14">
        <v>0</v>
      </c>
      <c r="I6" s="15">
        <f t="shared" si="0"/>
        <v>5</v>
      </c>
      <c r="J6" s="15">
        <v>1</v>
      </c>
      <c r="K6" t="s">
        <v>22</v>
      </c>
    </row>
    <row r="7" spans="1:14" x14ac:dyDescent="0.55000000000000004">
      <c r="A7" s="12" t="s">
        <v>23</v>
      </c>
      <c r="B7" s="12" t="s">
        <v>131</v>
      </c>
      <c r="C7" s="12" t="s">
        <v>14</v>
      </c>
      <c r="D7" s="13" t="s">
        <v>15</v>
      </c>
      <c r="E7" s="14">
        <v>1</v>
      </c>
      <c r="F7" s="14">
        <v>0</v>
      </c>
      <c r="G7" s="14">
        <v>0</v>
      </c>
      <c r="H7" s="14">
        <v>0</v>
      </c>
      <c r="I7" s="15">
        <f t="shared" si="0"/>
        <v>1</v>
      </c>
      <c r="J7" s="15">
        <v>0</v>
      </c>
      <c r="K7" t="s">
        <v>24</v>
      </c>
    </row>
    <row r="8" spans="1:14" x14ac:dyDescent="0.55000000000000004">
      <c r="A8" s="12" t="s">
        <v>25</v>
      </c>
      <c r="B8" s="12" t="s">
        <v>131</v>
      </c>
      <c r="C8" s="12" t="s">
        <v>17</v>
      </c>
      <c r="D8" s="13" t="s">
        <v>18</v>
      </c>
      <c r="E8" s="14">
        <v>0</v>
      </c>
      <c r="F8" s="14">
        <v>0</v>
      </c>
      <c r="G8" s="14">
        <v>0</v>
      </c>
      <c r="H8" s="14">
        <v>0</v>
      </c>
      <c r="I8" s="15">
        <f t="shared" si="0"/>
        <v>0</v>
      </c>
      <c r="J8" s="15">
        <v>0</v>
      </c>
    </row>
    <row r="9" spans="1:14" x14ac:dyDescent="0.55000000000000004">
      <c r="A9" s="12" t="s">
        <v>26</v>
      </c>
      <c r="B9" s="12" t="s">
        <v>131</v>
      </c>
      <c r="C9" s="12" t="s">
        <v>20</v>
      </c>
      <c r="D9" s="13" t="s">
        <v>21</v>
      </c>
      <c r="E9" s="15">
        <v>1</v>
      </c>
      <c r="F9" s="15">
        <v>0</v>
      </c>
      <c r="G9" s="15">
        <v>0</v>
      </c>
      <c r="H9" s="15">
        <v>0</v>
      </c>
      <c r="I9" s="15">
        <f t="shared" si="0"/>
        <v>1</v>
      </c>
      <c r="J9" s="15">
        <v>0</v>
      </c>
    </row>
    <row r="10" spans="1:14" x14ac:dyDescent="0.55000000000000004">
      <c r="A10" s="12" t="s">
        <v>27</v>
      </c>
      <c r="B10" s="12" t="s">
        <v>131</v>
      </c>
      <c r="C10" s="12" t="s">
        <v>14</v>
      </c>
      <c r="D10" s="13" t="s">
        <v>28</v>
      </c>
      <c r="E10" s="15">
        <v>3</v>
      </c>
      <c r="F10" s="15">
        <v>0</v>
      </c>
      <c r="G10" s="15">
        <v>0</v>
      </c>
      <c r="H10" s="15">
        <v>0</v>
      </c>
      <c r="I10" s="15">
        <f t="shared" si="0"/>
        <v>3</v>
      </c>
      <c r="J10" s="15">
        <v>0</v>
      </c>
    </row>
    <row r="11" spans="1:14" x14ac:dyDescent="0.55000000000000004">
      <c r="A11" s="12" t="s">
        <v>29</v>
      </c>
      <c r="B11" s="12" t="s">
        <v>131</v>
      </c>
      <c r="C11" s="12" t="s">
        <v>17</v>
      </c>
      <c r="D11" s="13" t="s">
        <v>15</v>
      </c>
      <c r="E11" s="15">
        <v>0</v>
      </c>
      <c r="F11" s="15">
        <v>0</v>
      </c>
      <c r="G11" s="15">
        <v>0</v>
      </c>
      <c r="H11" s="15">
        <v>0</v>
      </c>
      <c r="I11" s="15">
        <f t="shared" si="0"/>
        <v>0</v>
      </c>
      <c r="J11" s="15">
        <v>0</v>
      </c>
    </row>
    <row r="12" spans="1:14" x14ac:dyDescent="0.55000000000000004">
      <c r="A12" s="12" t="s">
        <v>30</v>
      </c>
      <c r="B12" s="12" t="s">
        <v>131</v>
      </c>
      <c r="C12" s="12" t="s">
        <v>20</v>
      </c>
      <c r="D12" s="13" t="s">
        <v>18</v>
      </c>
      <c r="E12" s="15">
        <v>0</v>
      </c>
      <c r="F12" s="15">
        <v>0</v>
      </c>
      <c r="G12" s="15">
        <v>0</v>
      </c>
      <c r="H12" s="15">
        <v>0</v>
      </c>
      <c r="I12" s="15">
        <f t="shared" si="0"/>
        <v>0</v>
      </c>
      <c r="J12" s="15">
        <v>0</v>
      </c>
    </row>
    <row r="13" spans="1:14" x14ac:dyDescent="0.55000000000000004">
      <c r="A13" s="12" t="s">
        <v>31</v>
      </c>
      <c r="B13" s="12" t="s">
        <v>131</v>
      </c>
      <c r="C13" s="12" t="s">
        <v>14</v>
      </c>
      <c r="D13" s="13" t="s">
        <v>18</v>
      </c>
      <c r="E13" s="15">
        <v>0</v>
      </c>
      <c r="F13" s="15">
        <v>0</v>
      </c>
      <c r="G13" s="15">
        <v>0</v>
      </c>
      <c r="H13" s="15">
        <v>0</v>
      </c>
      <c r="I13" s="15">
        <f t="shared" si="0"/>
        <v>0</v>
      </c>
      <c r="J13" s="15">
        <v>0</v>
      </c>
    </row>
    <row r="14" spans="1:14" x14ac:dyDescent="0.55000000000000004">
      <c r="A14" s="12" t="s">
        <v>32</v>
      </c>
      <c r="B14" s="12" t="s">
        <v>131</v>
      </c>
      <c r="C14" s="12" t="s">
        <v>17</v>
      </c>
      <c r="D14" s="13" t="s">
        <v>21</v>
      </c>
      <c r="E14" s="15">
        <v>6</v>
      </c>
      <c r="F14" s="15">
        <v>0</v>
      </c>
      <c r="G14" s="15">
        <v>0</v>
      </c>
      <c r="H14" s="15">
        <v>0</v>
      </c>
      <c r="I14" s="15">
        <f t="shared" si="0"/>
        <v>6</v>
      </c>
      <c r="J14" s="15">
        <v>0</v>
      </c>
    </row>
    <row r="15" spans="1:14" x14ac:dyDescent="0.55000000000000004">
      <c r="A15" s="12" t="s">
        <v>33</v>
      </c>
      <c r="B15" s="12" t="s">
        <v>131</v>
      </c>
      <c r="C15" s="12" t="s">
        <v>20</v>
      </c>
      <c r="D15" s="13" t="s">
        <v>18</v>
      </c>
      <c r="E15" s="14">
        <v>0</v>
      </c>
      <c r="F15" s="14">
        <v>0</v>
      </c>
      <c r="G15" s="14">
        <v>0</v>
      </c>
      <c r="H15" s="14">
        <v>0</v>
      </c>
      <c r="I15" s="15">
        <f t="shared" si="0"/>
        <v>0</v>
      </c>
      <c r="J15" s="15">
        <v>0</v>
      </c>
    </row>
    <row r="16" spans="1:14" x14ac:dyDescent="0.55000000000000004">
      <c r="A16" s="12" t="s">
        <v>34</v>
      </c>
      <c r="B16" s="12" t="s">
        <v>131</v>
      </c>
      <c r="C16" s="12" t="s">
        <v>14</v>
      </c>
      <c r="D16" s="13" t="s">
        <v>28</v>
      </c>
      <c r="E16" s="14">
        <v>1</v>
      </c>
      <c r="F16" s="14">
        <v>0</v>
      </c>
      <c r="G16" s="14">
        <v>0</v>
      </c>
      <c r="H16" s="14">
        <v>0</v>
      </c>
      <c r="I16" s="15">
        <f t="shared" si="0"/>
        <v>1</v>
      </c>
      <c r="J16" s="15">
        <v>0</v>
      </c>
    </row>
    <row r="17" spans="1:10" x14ac:dyDescent="0.55000000000000004">
      <c r="A17" s="12" t="s">
        <v>35</v>
      </c>
      <c r="B17" s="12" t="s">
        <v>131</v>
      </c>
      <c r="C17" s="12" t="s">
        <v>17</v>
      </c>
      <c r="D17" s="13" t="s">
        <v>18</v>
      </c>
      <c r="E17" s="14">
        <v>0</v>
      </c>
      <c r="F17" s="14">
        <v>0</v>
      </c>
      <c r="G17" s="14">
        <v>0</v>
      </c>
      <c r="H17" s="14">
        <v>0</v>
      </c>
      <c r="I17" s="15">
        <f t="shared" si="0"/>
        <v>0</v>
      </c>
      <c r="J17" s="15">
        <v>0</v>
      </c>
    </row>
    <row r="18" spans="1:10" x14ac:dyDescent="0.55000000000000004">
      <c r="A18" s="12" t="s">
        <v>36</v>
      </c>
      <c r="B18" s="12" t="s">
        <v>131</v>
      </c>
      <c r="C18" s="12" t="s">
        <v>20</v>
      </c>
      <c r="D18" s="13" t="s">
        <v>18</v>
      </c>
      <c r="E18" s="14">
        <v>0</v>
      </c>
      <c r="F18" s="14">
        <v>0</v>
      </c>
      <c r="G18" s="14">
        <v>0</v>
      </c>
      <c r="H18" s="14">
        <v>0</v>
      </c>
      <c r="I18" s="15">
        <f t="shared" si="0"/>
        <v>0</v>
      </c>
      <c r="J18" s="15">
        <v>0</v>
      </c>
    </row>
    <row r="19" spans="1:10" x14ac:dyDescent="0.55000000000000004">
      <c r="A19" s="12" t="s">
        <v>37</v>
      </c>
      <c r="B19" s="12" t="s">
        <v>131</v>
      </c>
      <c r="C19" s="12" t="s">
        <v>14</v>
      </c>
      <c r="D19" s="13" t="s">
        <v>15</v>
      </c>
      <c r="E19" s="14">
        <v>0</v>
      </c>
      <c r="F19" s="14">
        <v>0</v>
      </c>
      <c r="G19" s="14">
        <v>0</v>
      </c>
      <c r="H19" s="14">
        <v>0</v>
      </c>
      <c r="I19" s="15">
        <f t="shared" si="0"/>
        <v>0</v>
      </c>
      <c r="J19" s="15">
        <v>0</v>
      </c>
    </row>
    <row r="20" spans="1:10" x14ac:dyDescent="0.55000000000000004">
      <c r="A20" s="12" t="s">
        <v>38</v>
      </c>
      <c r="B20" s="12" t="s">
        <v>131</v>
      </c>
      <c r="C20" s="12" t="s">
        <v>14</v>
      </c>
      <c r="D20" s="13" t="s">
        <v>28</v>
      </c>
      <c r="E20" s="14">
        <v>0</v>
      </c>
      <c r="F20" s="14">
        <v>0</v>
      </c>
      <c r="G20" s="14">
        <v>0</v>
      </c>
      <c r="H20" s="14">
        <v>0</v>
      </c>
      <c r="I20" s="15">
        <f t="shared" si="0"/>
        <v>0</v>
      </c>
      <c r="J20" s="15">
        <v>0</v>
      </c>
    </row>
    <row r="21" spans="1:10" x14ac:dyDescent="0.55000000000000004">
      <c r="A21" s="12" t="s">
        <v>39</v>
      </c>
      <c r="B21" s="12" t="s">
        <v>131</v>
      </c>
      <c r="C21" s="12" t="s">
        <v>17</v>
      </c>
      <c r="D21" s="13" t="s">
        <v>15</v>
      </c>
      <c r="E21" s="15">
        <v>0</v>
      </c>
      <c r="F21" s="15">
        <v>0</v>
      </c>
      <c r="G21" s="15">
        <v>0</v>
      </c>
      <c r="H21" s="15">
        <v>0</v>
      </c>
      <c r="I21" s="15">
        <f t="shared" si="0"/>
        <v>0</v>
      </c>
      <c r="J21" s="15">
        <v>0</v>
      </c>
    </row>
    <row r="22" spans="1:10" x14ac:dyDescent="0.55000000000000004">
      <c r="A22" s="12" t="s">
        <v>40</v>
      </c>
      <c r="B22" s="12" t="s">
        <v>131</v>
      </c>
      <c r="C22" s="12" t="s">
        <v>20</v>
      </c>
      <c r="D22" s="13" t="s">
        <v>18</v>
      </c>
      <c r="E22" s="15">
        <v>0</v>
      </c>
      <c r="F22" s="15">
        <v>0</v>
      </c>
      <c r="G22" s="15">
        <v>0</v>
      </c>
      <c r="H22" s="15">
        <v>0</v>
      </c>
      <c r="I22" s="15">
        <f t="shared" si="0"/>
        <v>0</v>
      </c>
      <c r="J22" s="15">
        <v>0</v>
      </c>
    </row>
    <row r="23" spans="1:10" x14ac:dyDescent="0.55000000000000004">
      <c r="A23" s="12" t="s">
        <v>41</v>
      </c>
      <c r="B23" s="12" t="s">
        <v>131</v>
      </c>
      <c r="C23" s="12" t="s">
        <v>14</v>
      </c>
      <c r="D23" s="13" t="s">
        <v>28</v>
      </c>
      <c r="E23" s="15">
        <v>0</v>
      </c>
      <c r="F23" s="15">
        <v>0</v>
      </c>
      <c r="G23" s="15">
        <v>0</v>
      </c>
      <c r="H23" s="15">
        <v>0</v>
      </c>
      <c r="I23" s="15">
        <f t="shared" si="0"/>
        <v>0</v>
      </c>
      <c r="J23" s="15">
        <v>0</v>
      </c>
    </row>
    <row r="24" spans="1:10" x14ac:dyDescent="0.55000000000000004">
      <c r="A24" s="12" t="s">
        <v>42</v>
      </c>
      <c r="B24" s="12" t="s">
        <v>131</v>
      </c>
      <c r="C24" s="12" t="s">
        <v>17</v>
      </c>
      <c r="D24" s="13" t="s">
        <v>21</v>
      </c>
      <c r="E24" s="15">
        <v>1</v>
      </c>
      <c r="F24" s="15">
        <v>0</v>
      </c>
      <c r="G24" s="15">
        <v>0</v>
      </c>
      <c r="H24" s="15">
        <v>0</v>
      </c>
      <c r="I24" s="15">
        <f t="shared" si="0"/>
        <v>1</v>
      </c>
      <c r="J24" s="15">
        <v>0</v>
      </c>
    </row>
    <row r="25" spans="1:10" x14ac:dyDescent="0.55000000000000004">
      <c r="A25" s="12" t="s">
        <v>43</v>
      </c>
      <c r="B25" s="12" t="s">
        <v>131</v>
      </c>
      <c r="C25" s="12" t="s">
        <v>20</v>
      </c>
      <c r="D25" s="13" t="s">
        <v>15</v>
      </c>
      <c r="E25" s="15">
        <v>0</v>
      </c>
      <c r="F25" s="15">
        <v>0</v>
      </c>
      <c r="G25" s="15">
        <v>0</v>
      </c>
      <c r="H25" s="15">
        <v>0</v>
      </c>
      <c r="I25" s="15">
        <f t="shared" si="0"/>
        <v>0</v>
      </c>
      <c r="J25" s="15">
        <v>0</v>
      </c>
    </row>
    <row r="26" spans="1:10" x14ac:dyDescent="0.55000000000000004">
      <c r="A26" s="12" t="s">
        <v>44</v>
      </c>
      <c r="B26" s="12" t="s">
        <v>131</v>
      </c>
      <c r="C26" s="16" t="s">
        <v>14</v>
      </c>
      <c r="D26" s="17" t="s">
        <v>18</v>
      </c>
      <c r="E26" s="18">
        <v>0</v>
      </c>
      <c r="F26" s="15">
        <v>0</v>
      </c>
      <c r="G26" s="15">
        <v>0</v>
      </c>
      <c r="H26" s="15">
        <v>0</v>
      </c>
      <c r="I26" s="15">
        <f t="shared" si="0"/>
        <v>0</v>
      </c>
      <c r="J26" s="15">
        <v>0</v>
      </c>
    </row>
    <row r="27" spans="1:10" x14ac:dyDescent="0.55000000000000004">
      <c r="A27" s="12" t="s">
        <v>45</v>
      </c>
      <c r="B27" s="12" t="s">
        <v>131</v>
      </c>
      <c r="C27" s="16" t="s">
        <v>14</v>
      </c>
      <c r="D27" s="17" t="s">
        <v>15</v>
      </c>
      <c r="E27" s="18">
        <v>1</v>
      </c>
      <c r="F27" s="15">
        <v>1</v>
      </c>
      <c r="G27" s="15">
        <v>0</v>
      </c>
      <c r="H27" s="15">
        <v>0</v>
      </c>
      <c r="I27" s="15">
        <f t="shared" si="0"/>
        <v>2</v>
      </c>
      <c r="J27" s="15">
        <v>0</v>
      </c>
    </row>
    <row r="28" spans="1:10" x14ac:dyDescent="0.55000000000000004">
      <c r="A28" s="12" t="s">
        <v>46</v>
      </c>
      <c r="B28" s="12" t="s">
        <v>131</v>
      </c>
      <c r="C28" s="16" t="s">
        <v>14</v>
      </c>
      <c r="D28" s="17" t="s">
        <v>15</v>
      </c>
      <c r="E28" s="18">
        <v>2</v>
      </c>
      <c r="F28" s="15">
        <v>0</v>
      </c>
      <c r="G28" s="15">
        <v>0</v>
      </c>
      <c r="H28" s="15">
        <v>0</v>
      </c>
      <c r="I28" s="15">
        <f t="shared" si="0"/>
        <v>2</v>
      </c>
      <c r="J28" s="15">
        <v>0</v>
      </c>
    </row>
    <row r="29" spans="1:10" x14ac:dyDescent="0.55000000000000004">
      <c r="A29" s="12" t="s">
        <v>47</v>
      </c>
      <c r="B29" s="12" t="s">
        <v>131</v>
      </c>
      <c r="C29" s="16" t="s">
        <v>17</v>
      </c>
      <c r="D29" s="17" t="s">
        <v>21</v>
      </c>
      <c r="E29" s="18">
        <v>0</v>
      </c>
      <c r="F29" s="15">
        <v>0</v>
      </c>
      <c r="G29" s="15">
        <v>0</v>
      </c>
      <c r="H29" s="15">
        <v>0</v>
      </c>
      <c r="I29" s="15">
        <f t="shared" si="0"/>
        <v>0</v>
      </c>
      <c r="J29" s="15">
        <v>0</v>
      </c>
    </row>
    <row r="30" spans="1:10" x14ac:dyDescent="0.55000000000000004">
      <c r="A30" s="12" t="s">
        <v>48</v>
      </c>
      <c r="B30" s="12" t="s">
        <v>131</v>
      </c>
      <c r="C30" s="16" t="s">
        <v>20</v>
      </c>
      <c r="D30" s="17" t="s">
        <v>18</v>
      </c>
      <c r="E30" s="18">
        <v>0</v>
      </c>
      <c r="F30" s="15">
        <v>0</v>
      </c>
      <c r="G30" s="15">
        <v>0</v>
      </c>
      <c r="H30" s="15">
        <v>0</v>
      </c>
      <c r="I30" s="15">
        <f t="shared" si="0"/>
        <v>0</v>
      </c>
      <c r="J30" s="15">
        <v>0</v>
      </c>
    </row>
    <row r="31" spans="1:10" x14ac:dyDescent="0.55000000000000004">
      <c r="A31" s="12" t="s">
        <v>49</v>
      </c>
      <c r="B31" s="12" t="s">
        <v>131</v>
      </c>
      <c r="C31" s="16" t="s">
        <v>14</v>
      </c>
      <c r="D31" s="17" t="s">
        <v>28</v>
      </c>
      <c r="E31" s="18">
        <v>3</v>
      </c>
      <c r="F31" s="15">
        <v>0</v>
      </c>
      <c r="G31" s="15">
        <v>0</v>
      </c>
      <c r="H31" s="15">
        <v>0</v>
      </c>
      <c r="I31" s="15">
        <f t="shared" si="0"/>
        <v>3</v>
      </c>
      <c r="J31" s="15">
        <v>0</v>
      </c>
    </row>
    <row r="32" spans="1:10" x14ac:dyDescent="0.55000000000000004">
      <c r="A32" s="12" t="s">
        <v>50</v>
      </c>
      <c r="B32" s="12" t="s">
        <v>131</v>
      </c>
      <c r="C32" s="16" t="s">
        <v>17</v>
      </c>
      <c r="D32" s="17" t="s">
        <v>15</v>
      </c>
      <c r="E32" s="18">
        <v>0</v>
      </c>
      <c r="F32" s="15">
        <v>0</v>
      </c>
      <c r="G32" s="15">
        <v>0</v>
      </c>
      <c r="H32" s="15">
        <v>0</v>
      </c>
      <c r="I32" s="15">
        <f t="shared" si="0"/>
        <v>0</v>
      </c>
      <c r="J32" s="15">
        <v>0</v>
      </c>
    </row>
    <row r="33" spans="1:11" x14ac:dyDescent="0.55000000000000004">
      <c r="A33" s="12" t="s">
        <v>51</v>
      </c>
      <c r="B33" s="12" t="s">
        <v>131</v>
      </c>
      <c r="C33" s="12" t="s">
        <v>20</v>
      </c>
      <c r="D33" s="13" t="s">
        <v>21</v>
      </c>
      <c r="E33" s="15">
        <v>5</v>
      </c>
      <c r="F33" s="15">
        <v>0</v>
      </c>
      <c r="G33" s="15">
        <v>0</v>
      </c>
      <c r="H33" s="15">
        <v>0</v>
      </c>
      <c r="I33" s="15">
        <f t="shared" si="0"/>
        <v>5</v>
      </c>
      <c r="J33" s="15">
        <v>0</v>
      </c>
    </row>
    <row r="34" spans="1:11" x14ac:dyDescent="0.55000000000000004">
      <c r="A34" s="12" t="s">
        <v>52</v>
      </c>
      <c r="B34" s="12" t="s">
        <v>131</v>
      </c>
      <c r="C34" s="12" t="s">
        <v>14</v>
      </c>
      <c r="D34" s="13" t="s">
        <v>18</v>
      </c>
      <c r="E34" s="15">
        <v>0</v>
      </c>
      <c r="F34" s="15">
        <v>0</v>
      </c>
      <c r="G34" s="15">
        <v>0</v>
      </c>
      <c r="H34" s="15">
        <v>0</v>
      </c>
      <c r="I34" s="15">
        <f t="shared" si="0"/>
        <v>0</v>
      </c>
      <c r="J34" s="15">
        <v>0</v>
      </c>
    </row>
    <row r="35" spans="1:11" x14ac:dyDescent="0.55000000000000004">
      <c r="A35" s="12" t="s">
        <v>53</v>
      </c>
      <c r="B35" s="12" t="s">
        <v>131</v>
      </c>
      <c r="C35" s="12" t="s">
        <v>17</v>
      </c>
      <c r="D35" s="13" t="s">
        <v>21</v>
      </c>
      <c r="E35" s="15">
        <v>0</v>
      </c>
      <c r="F35" s="15">
        <v>0</v>
      </c>
      <c r="G35" s="15">
        <v>0</v>
      </c>
      <c r="H35" s="15">
        <v>0</v>
      </c>
      <c r="I35" s="15">
        <f t="shared" si="0"/>
        <v>0</v>
      </c>
      <c r="J35" s="15">
        <v>0</v>
      </c>
    </row>
    <row r="36" spans="1:11" x14ac:dyDescent="0.55000000000000004">
      <c r="A36" s="12" t="s">
        <v>54</v>
      </c>
      <c r="B36" s="12" t="s">
        <v>131</v>
      </c>
      <c r="C36" s="12" t="s">
        <v>20</v>
      </c>
      <c r="D36" s="13" t="s">
        <v>15</v>
      </c>
      <c r="E36" s="15">
        <v>2</v>
      </c>
      <c r="F36" s="15">
        <v>0</v>
      </c>
      <c r="G36" s="15">
        <v>0</v>
      </c>
      <c r="H36" s="15">
        <v>0</v>
      </c>
      <c r="I36" s="15">
        <f t="shared" si="0"/>
        <v>2</v>
      </c>
      <c r="J36" s="15">
        <v>0</v>
      </c>
      <c r="K36" t="s">
        <v>55</v>
      </c>
    </row>
    <row r="37" spans="1:11" x14ac:dyDescent="0.55000000000000004">
      <c r="A37" s="12" t="s">
        <v>56</v>
      </c>
      <c r="B37" s="12" t="s">
        <v>131</v>
      </c>
      <c r="C37" s="12" t="s">
        <v>14</v>
      </c>
      <c r="D37" s="13" t="s">
        <v>15</v>
      </c>
      <c r="E37" s="15">
        <v>0</v>
      </c>
      <c r="F37" s="15">
        <v>0</v>
      </c>
      <c r="G37" s="15">
        <v>0</v>
      </c>
      <c r="H37" s="15">
        <v>0</v>
      </c>
      <c r="I37" s="15">
        <f t="shared" si="0"/>
        <v>0</v>
      </c>
      <c r="J37" s="15">
        <v>0</v>
      </c>
    </row>
    <row r="38" spans="1:11" x14ac:dyDescent="0.55000000000000004">
      <c r="A38" s="12" t="s">
        <v>57</v>
      </c>
      <c r="B38" s="12" t="s">
        <v>131</v>
      </c>
      <c r="C38" s="12" t="s">
        <v>14</v>
      </c>
      <c r="D38" s="13" t="s">
        <v>28</v>
      </c>
      <c r="E38" s="15">
        <v>2</v>
      </c>
      <c r="F38" s="15">
        <v>0</v>
      </c>
      <c r="G38" s="15">
        <v>0</v>
      </c>
      <c r="H38" s="15">
        <v>0</v>
      </c>
      <c r="I38" s="15">
        <f t="shared" si="0"/>
        <v>2</v>
      </c>
      <c r="J38" s="15">
        <v>0</v>
      </c>
      <c r="K38" t="s">
        <v>24</v>
      </c>
    </row>
    <row r="39" spans="1:11" x14ac:dyDescent="0.55000000000000004">
      <c r="A39" s="12" t="s">
        <v>58</v>
      </c>
      <c r="B39" s="12" t="s">
        <v>131</v>
      </c>
      <c r="C39" s="12" t="s">
        <v>17</v>
      </c>
      <c r="D39" s="13" t="s">
        <v>18</v>
      </c>
      <c r="E39" s="15">
        <v>0</v>
      </c>
      <c r="F39" s="15">
        <v>0</v>
      </c>
      <c r="G39" s="15">
        <v>0</v>
      </c>
      <c r="H39" s="15">
        <v>0</v>
      </c>
      <c r="I39" s="15">
        <f t="shared" si="0"/>
        <v>0</v>
      </c>
      <c r="J39" s="15">
        <v>0</v>
      </c>
    </row>
    <row r="40" spans="1:11" x14ac:dyDescent="0.55000000000000004">
      <c r="A40" s="12" t="s">
        <v>59</v>
      </c>
      <c r="B40" s="12" t="s">
        <v>131</v>
      </c>
      <c r="C40" s="12" t="s">
        <v>20</v>
      </c>
      <c r="D40" s="13" t="s">
        <v>21</v>
      </c>
      <c r="E40" s="15">
        <v>7</v>
      </c>
      <c r="F40" s="15">
        <v>0</v>
      </c>
      <c r="G40" s="15">
        <v>0</v>
      </c>
      <c r="H40" s="15">
        <v>0</v>
      </c>
      <c r="I40" s="15">
        <f t="shared" si="0"/>
        <v>7</v>
      </c>
      <c r="J40" s="15">
        <v>0</v>
      </c>
    </row>
    <row r="41" spans="1:11" x14ac:dyDescent="0.55000000000000004">
      <c r="A41" s="12" t="s">
        <v>60</v>
      </c>
      <c r="B41" s="12" t="s">
        <v>131</v>
      </c>
      <c r="C41" s="12" t="s">
        <v>14</v>
      </c>
      <c r="D41" s="13" t="s">
        <v>21</v>
      </c>
      <c r="E41" s="15">
        <v>2</v>
      </c>
      <c r="F41" s="15">
        <v>0</v>
      </c>
      <c r="G41" s="15">
        <v>0</v>
      </c>
      <c r="H41" s="15">
        <v>0</v>
      </c>
      <c r="I41" s="15">
        <f t="shared" si="0"/>
        <v>2</v>
      </c>
      <c r="J41" s="15">
        <v>0</v>
      </c>
      <c r="K41" t="s">
        <v>24</v>
      </c>
    </row>
    <row r="42" spans="1:11" x14ac:dyDescent="0.55000000000000004">
      <c r="A42" s="12" t="s">
        <v>61</v>
      </c>
      <c r="B42" s="12" t="s">
        <v>131</v>
      </c>
      <c r="C42" s="12" t="s">
        <v>17</v>
      </c>
      <c r="D42" s="13" t="s">
        <v>15</v>
      </c>
      <c r="E42" s="15">
        <v>0</v>
      </c>
      <c r="F42" s="15">
        <v>0</v>
      </c>
      <c r="G42" s="15">
        <v>0</v>
      </c>
      <c r="H42" s="15">
        <v>0</v>
      </c>
      <c r="I42" s="15">
        <f t="shared" si="0"/>
        <v>0</v>
      </c>
      <c r="J42" s="15">
        <v>0</v>
      </c>
    </row>
    <row r="43" spans="1:11" x14ac:dyDescent="0.55000000000000004">
      <c r="A43" s="12" t="s">
        <v>62</v>
      </c>
      <c r="B43" s="12" t="s">
        <v>131</v>
      </c>
      <c r="C43" s="12" t="s">
        <v>20</v>
      </c>
      <c r="D43" s="13" t="s">
        <v>18</v>
      </c>
      <c r="E43" s="15">
        <v>0</v>
      </c>
      <c r="F43" s="15">
        <v>0</v>
      </c>
      <c r="G43" s="15">
        <v>0</v>
      </c>
      <c r="H43" s="15">
        <v>0</v>
      </c>
      <c r="I43" s="15">
        <f t="shared" si="0"/>
        <v>0</v>
      </c>
      <c r="J43" s="15">
        <v>0</v>
      </c>
    </row>
    <row r="44" spans="1:11" x14ac:dyDescent="0.55000000000000004">
      <c r="A44" s="12" t="s">
        <v>63</v>
      </c>
      <c r="B44" s="12" t="s">
        <v>131</v>
      </c>
      <c r="C44" s="12" t="s">
        <v>14</v>
      </c>
      <c r="D44" s="13" t="s">
        <v>15</v>
      </c>
      <c r="E44" s="15">
        <v>1</v>
      </c>
      <c r="F44" s="15">
        <v>0</v>
      </c>
      <c r="G44" s="15">
        <v>0</v>
      </c>
      <c r="H44" s="15">
        <v>0</v>
      </c>
      <c r="I44" s="15">
        <f t="shared" si="0"/>
        <v>1</v>
      </c>
      <c r="J44" s="15">
        <v>0</v>
      </c>
    </row>
    <row r="45" spans="1:11" x14ac:dyDescent="0.55000000000000004">
      <c r="A45" s="12" t="s">
        <v>64</v>
      </c>
      <c r="B45" s="12" t="s">
        <v>131</v>
      </c>
      <c r="C45" s="12" t="s">
        <v>14</v>
      </c>
      <c r="D45" s="13" t="s">
        <v>28</v>
      </c>
      <c r="E45" s="15">
        <v>0</v>
      </c>
      <c r="F45" s="15">
        <v>0</v>
      </c>
      <c r="G45" s="15">
        <v>0</v>
      </c>
      <c r="H45" s="15">
        <v>0</v>
      </c>
      <c r="I45" s="15">
        <f t="shared" si="0"/>
        <v>0</v>
      </c>
      <c r="J45" s="15">
        <v>0</v>
      </c>
    </row>
    <row r="46" spans="1:11" x14ac:dyDescent="0.55000000000000004">
      <c r="A46" s="12" t="s">
        <v>65</v>
      </c>
      <c r="B46" s="12" t="s">
        <v>131</v>
      </c>
      <c r="C46" s="16" t="s">
        <v>17</v>
      </c>
      <c r="D46" s="17" t="s">
        <v>21</v>
      </c>
      <c r="E46" s="18">
        <v>0</v>
      </c>
      <c r="F46" s="15">
        <v>0</v>
      </c>
      <c r="G46" s="15">
        <v>0</v>
      </c>
      <c r="H46" s="15">
        <v>0</v>
      </c>
      <c r="I46" s="15">
        <f t="shared" si="0"/>
        <v>0</v>
      </c>
      <c r="J46" s="15">
        <v>0</v>
      </c>
    </row>
    <row r="47" spans="1:11" x14ac:dyDescent="0.55000000000000004">
      <c r="A47" s="12" t="s">
        <v>66</v>
      </c>
      <c r="B47" s="12" t="s">
        <v>131</v>
      </c>
      <c r="C47" s="16" t="s">
        <v>20</v>
      </c>
      <c r="D47" s="17" t="s">
        <v>15</v>
      </c>
      <c r="E47" s="18">
        <v>0</v>
      </c>
      <c r="F47" s="15">
        <v>0</v>
      </c>
      <c r="G47" s="15">
        <v>0</v>
      </c>
      <c r="H47" s="15">
        <v>0</v>
      </c>
      <c r="I47" s="15">
        <f t="shared" si="0"/>
        <v>0</v>
      </c>
      <c r="J47" s="15">
        <v>0</v>
      </c>
    </row>
    <row r="48" spans="1:11" x14ac:dyDescent="0.55000000000000004">
      <c r="A48" s="12" t="s">
        <v>67</v>
      </c>
      <c r="B48" s="12" t="s">
        <v>131</v>
      </c>
      <c r="C48" s="16" t="s">
        <v>14</v>
      </c>
      <c r="D48" s="17" t="s">
        <v>15</v>
      </c>
      <c r="E48" s="18">
        <v>1</v>
      </c>
      <c r="F48" s="15">
        <v>0</v>
      </c>
      <c r="G48" s="15">
        <v>0</v>
      </c>
      <c r="H48" s="15">
        <v>0</v>
      </c>
      <c r="I48" s="15">
        <f t="shared" si="0"/>
        <v>1</v>
      </c>
      <c r="J48" s="15">
        <v>0</v>
      </c>
    </row>
    <row r="49" spans="1:11" x14ac:dyDescent="0.55000000000000004">
      <c r="A49" s="12" t="s">
        <v>68</v>
      </c>
      <c r="B49" s="12" t="s">
        <v>131</v>
      </c>
      <c r="C49" s="12" t="s">
        <v>17</v>
      </c>
      <c r="D49" s="13" t="s">
        <v>28</v>
      </c>
      <c r="E49" s="15">
        <v>2</v>
      </c>
      <c r="F49" s="15">
        <v>0</v>
      </c>
      <c r="G49" s="15">
        <v>0</v>
      </c>
      <c r="H49" s="15">
        <v>0</v>
      </c>
      <c r="I49" s="15">
        <f t="shared" si="0"/>
        <v>2</v>
      </c>
      <c r="J49" s="15">
        <v>0</v>
      </c>
      <c r="K49" t="s">
        <v>24</v>
      </c>
    </row>
    <row r="50" spans="1:11" x14ac:dyDescent="0.55000000000000004">
      <c r="A50" s="12" t="s">
        <v>69</v>
      </c>
      <c r="B50" s="12" t="s">
        <v>131</v>
      </c>
      <c r="C50" s="12" t="s">
        <v>20</v>
      </c>
      <c r="D50" s="13" t="s">
        <v>21</v>
      </c>
      <c r="E50" s="15">
        <v>0</v>
      </c>
      <c r="F50" s="15">
        <v>2</v>
      </c>
      <c r="G50" s="15">
        <v>0</v>
      </c>
      <c r="H50" s="15">
        <v>0</v>
      </c>
      <c r="I50" s="15">
        <f t="shared" si="0"/>
        <v>2</v>
      </c>
      <c r="J50" s="15">
        <v>0</v>
      </c>
    </row>
    <row r="51" spans="1:11" x14ac:dyDescent="0.55000000000000004">
      <c r="A51" s="12" t="s">
        <v>70</v>
      </c>
      <c r="B51" s="12" t="s">
        <v>131</v>
      </c>
      <c r="C51" s="12" t="s">
        <v>14</v>
      </c>
      <c r="D51" s="13" t="s">
        <v>15</v>
      </c>
      <c r="E51" s="15">
        <v>0</v>
      </c>
      <c r="F51" s="15">
        <v>0</v>
      </c>
      <c r="G51" s="15">
        <v>0</v>
      </c>
      <c r="H51" s="15">
        <v>0</v>
      </c>
      <c r="I51" s="15">
        <f t="shared" si="0"/>
        <v>0</v>
      </c>
      <c r="J51" s="15">
        <v>0</v>
      </c>
    </row>
    <row r="52" spans="1:11" x14ac:dyDescent="0.55000000000000004">
      <c r="A52" s="12" t="s">
        <v>71</v>
      </c>
      <c r="B52" s="12" t="s">
        <v>131</v>
      </c>
      <c r="C52" s="12" t="s">
        <v>17</v>
      </c>
      <c r="D52" s="13" t="s">
        <v>28</v>
      </c>
      <c r="E52" s="15">
        <v>2</v>
      </c>
      <c r="F52" s="15">
        <v>0</v>
      </c>
      <c r="G52" s="15">
        <v>0</v>
      </c>
      <c r="H52" s="15">
        <v>0</v>
      </c>
      <c r="I52" s="15">
        <f t="shared" si="0"/>
        <v>2</v>
      </c>
      <c r="J52" s="15">
        <v>0</v>
      </c>
    </row>
    <row r="53" spans="1:11" x14ac:dyDescent="0.55000000000000004">
      <c r="A53" s="12" t="s">
        <v>72</v>
      </c>
      <c r="B53" s="12" t="s">
        <v>131</v>
      </c>
      <c r="C53" s="12" t="s">
        <v>20</v>
      </c>
      <c r="D53" s="13" t="s">
        <v>21</v>
      </c>
      <c r="E53" s="15">
        <v>2</v>
      </c>
      <c r="F53" s="15">
        <v>0</v>
      </c>
      <c r="G53" s="15">
        <v>0</v>
      </c>
      <c r="H53" s="15">
        <v>0</v>
      </c>
      <c r="I53" s="15">
        <f t="shared" si="0"/>
        <v>2</v>
      </c>
      <c r="J53" s="15">
        <v>0</v>
      </c>
    </row>
    <row r="54" spans="1:11" x14ac:dyDescent="0.55000000000000004">
      <c r="A54" s="12" t="s">
        <v>73</v>
      </c>
      <c r="B54" s="12" t="s">
        <v>131</v>
      </c>
      <c r="C54" s="12" t="s">
        <v>14</v>
      </c>
      <c r="D54" s="13" t="s">
        <v>15</v>
      </c>
      <c r="E54" s="15">
        <v>0</v>
      </c>
      <c r="F54" s="15">
        <v>0</v>
      </c>
      <c r="G54" s="15">
        <v>0</v>
      </c>
      <c r="H54" s="15">
        <v>0</v>
      </c>
      <c r="I54" s="15">
        <f t="shared" si="0"/>
        <v>0</v>
      </c>
      <c r="J54" s="15">
        <v>0</v>
      </c>
    </row>
    <row r="55" spans="1:11" x14ac:dyDescent="0.55000000000000004">
      <c r="A55" s="12" t="s">
        <v>74</v>
      </c>
      <c r="B55" s="12" t="s">
        <v>131</v>
      </c>
      <c r="C55" s="19" t="s">
        <v>14</v>
      </c>
      <c r="D55" s="13" t="s">
        <v>18</v>
      </c>
      <c r="E55" s="15">
        <v>0</v>
      </c>
      <c r="F55" s="15">
        <v>0</v>
      </c>
      <c r="G55" s="15">
        <v>0</v>
      </c>
      <c r="H55" s="15">
        <v>0</v>
      </c>
      <c r="I55" s="15">
        <f t="shared" si="0"/>
        <v>0</v>
      </c>
      <c r="J55" s="15">
        <v>0</v>
      </c>
    </row>
    <row r="56" spans="1:11" x14ac:dyDescent="0.55000000000000004">
      <c r="A56" s="12" t="s">
        <v>75</v>
      </c>
      <c r="B56" s="12" t="s">
        <v>131</v>
      </c>
      <c r="C56" s="19" t="s">
        <v>17</v>
      </c>
      <c r="D56" s="13" t="s">
        <v>28</v>
      </c>
      <c r="E56" s="15">
        <v>2</v>
      </c>
      <c r="F56" s="15">
        <v>0</v>
      </c>
      <c r="G56" s="15">
        <v>0</v>
      </c>
      <c r="H56" s="15">
        <v>0</v>
      </c>
      <c r="I56" s="15">
        <f t="shared" si="0"/>
        <v>2</v>
      </c>
      <c r="J56" s="15">
        <v>0</v>
      </c>
    </row>
    <row r="57" spans="1:11" x14ac:dyDescent="0.55000000000000004">
      <c r="A57" s="12" t="s">
        <v>76</v>
      </c>
      <c r="B57" s="12" t="s">
        <v>131</v>
      </c>
      <c r="C57" s="19" t="s">
        <v>20</v>
      </c>
      <c r="D57" s="13" t="s">
        <v>15</v>
      </c>
      <c r="E57" s="15">
        <v>4</v>
      </c>
      <c r="F57" s="15">
        <v>0</v>
      </c>
      <c r="G57" s="15">
        <v>0</v>
      </c>
      <c r="H57" s="15">
        <v>0</v>
      </c>
      <c r="I57" s="15">
        <f t="shared" si="0"/>
        <v>4</v>
      </c>
      <c r="J57" s="15">
        <v>0</v>
      </c>
    </row>
    <row r="58" spans="1:11" x14ac:dyDescent="0.55000000000000004">
      <c r="A58" s="12" t="s">
        <v>77</v>
      </c>
      <c r="B58" s="12" t="s">
        <v>131</v>
      </c>
      <c r="C58" s="19" t="s">
        <v>14</v>
      </c>
      <c r="D58" s="13" t="s">
        <v>18</v>
      </c>
      <c r="E58" s="15">
        <v>0</v>
      </c>
      <c r="F58" s="15">
        <v>0</v>
      </c>
      <c r="G58" s="15">
        <v>0</v>
      </c>
      <c r="H58" s="15">
        <v>0</v>
      </c>
      <c r="I58" s="15">
        <f t="shared" si="0"/>
        <v>0</v>
      </c>
      <c r="J58" s="15">
        <v>0</v>
      </c>
    </row>
    <row r="59" spans="1:11" x14ac:dyDescent="0.55000000000000004">
      <c r="A59" s="12" t="s">
        <v>78</v>
      </c>
      <c r="B59" s="12" t="s">
        <v>131</v>
      </c>
      <c r="C59" s="19" t="s">
        <v>14</v>
      </c>
      <c r="D59" s="13" t="s">
        <v>18</v>
      </c>
      <c r="E59" s="15">
        <v>0</v>
      </c>
      <c r="F59" s="15">
        <v>0</v>
      </c>
      <c r="G59" s="15">
        <v>0</v>
      </c>
      <c r="H59" s="15">
        <v>0</v>
      </c>
      <c r="I59" s="15">
        <f t="shared" si="0"/>
        <v>0</v>
      </c>
      <c r="J59" s="15">
        <v>0</v>
      </c>
    </row>
    <row r="60" spans="1:11" x14ac:dyDescent="0.55000000000000004">
      <c r="A60" s="12" t="s">
        <v>79</v>
      </c>
      <c r="B60" s="12" t="s">
        <v>131</v>
      </c>
      <c r="C60" s="20" t="s">
        <v>14</v>
      </c>
      <c r="D60" s="13" t="s">
        <v>15</v>
      </c>
      <c r="E60" s="15">
        <v>0</v>
      </c>
      <c r="F60" s="15">
        <v>0</v>
      </c>
      <c r="G60" s="15">
        <v>0</v>
      </c>
      <c r="H60" s="15">
        <v>0</v>
      </c>
      <c r="I60" s="15">
        <f t="shared" si="0"/>
        <v>0</v>
      </c>
      <c r="J60" s="15">
        <v>0</v>
      </c>
    </row>
    <row r="61" spans="1:11" x14ac:dyDescent="0.55000000000000004">
      <c r="A61" s="12" t="s">
        <v>80</v>
      </c>
      <c r="B61" s="12" t="s">
        <v>131</v>
      </c>
      <c r="C61" s="20" t="s">
        <v>17</v>
      </c>
      <c r="D61" s="13" t="s">
        <v>21</v>
      </c>
      <c r="E61" s="15">
        <v>1</v>
      </c>
      <c r="F61" s="15">
        <v>0</v>
      </c>
      <c r="G61" s="15">
        <v>0</v>
      </c>
      <c r="H61" s="15">
        <v>0</v>
      </c>
      <c r="I61" s="15">
        <f t="shared" si="0"/>
        <v>1</v>
      </c>
      <c r="J61" s="15">
        <v>0</v>
      </c>
    </row>
    <row r="62" spans="1:11" x14ac:dyDescent="0.55000000000000004">
      <c r="A62" s="12" t="s">
        <v>81</v>
      </c>
      <c r="B62" s="12" t="s">
        <v>131</v>
      </c>
      <c r="C62" s="20" t="s">
        <v>20</v>
      </c>
      <c r="D62" s="13" t="s">
        <v>28</v>
      </c>
      <c r="E62" s="15">
        <v>1</v>
      </c>
      <c r="F62" s="15">
        <v>0</v>
      </c>
      <c r="G62" s="15">
        <v>0</v>
      </c>
      <c r="H62" s="15">
        <v>0</v>
      </c>
      <c r="I62" s="15">
        <f t="shared" si="0"/>
        <v>1</v>
      </c>
      <c r="J62" s="15">
        <v>0</v>
      </c>
    </row>
    <row r="63" spans="1:11" x14ac:dyDescent="0.55000000000000004">
      <c r="A63" s="12" t="s">
        <v>82</v>
      </c>
      <c r="B63" s="12" t="s">
        <v>131</v>
      </c>
      <c r="C63" s="20" t="s">
        <v>14</v>
      </c>
      <c r="D63" s="13" t="s">
        <v>18</v>
      </c>
      <c r="E63" s="15">
        <v>0</v>
      </c>
      <c r="F63" s="15">
        <v>0</v>
      </c>
      <c r="G63" s="15">
        <v>0</v>
      </c>
      <c r="H63" s="15">
        <v>0</v>
      </c>
      <c r="I63" s="15">
        <f t="shared" si="0"/>
        <v>0</v>
      </c>
      <c r="J63" s="15">
        <v>0</v>
      </c>
    </row>
    <row r="64" spans="1:11" x14ac:dyDescent="0.55000000000000004">
      <c r="A64" s="12" t="s">
        <v>83</v>
      </c>
      <c r="B64" s="12" t="s">
        <v>131</v>
      </c>
      <c r="C64" s="20" t="s">
        <v>17</v>
      </c>
      <c r="D64" s="13" t="s">
        <v>15</v>
      </c>
      <c r="E64" s="15">
        <v>0</v>
      </c>
      <c r="F64" s="15">
        <v>1</v>
      </c>
      <c r="G64" s="15">
        <v>0</v>
      </c>
      <c r="H64" s="15">
        <v>0</v>
      </c>
      <c r="I64" s="15">
        <f t="shared" si="0"/>
        <v>1</v>
      </c>
      <c r="J64" s="15">
        <v>0</v>
      </c>
    </row>
    <row r="65" spans="1:11" x14ac:dyDescent="0.55000000000000004">
      <c r="A65" s="12" t="s">
        <v>84</v>
      </c>
      <c r="B65" s="12" t="s">
        <v>131</v>
      </c>
      <c r="C65" s="20" t="s">
        <v>20</v>
      </c>
      <c r="D65" s="13" t="s">
        <v>28</v>
      </c>
      <c r="E65" s="15">
        <v>1</v>
      </c>
      <c r="F65" s="15">
        <v>0</v>
      </c>
      <c r="G65" s="15">
        <v>0</v>
      </c>
      <c r="H65" s="15">
        <v>0</v>
      </c>
      <c r="I65" s="15">
        <f t="shared" si="0"/>
        <v>1</v>
      </c>
      <c r="J65" s="15">
        <v>0</v>
      </c>
    </row>
    <row r="66" spans="1:11" x14ac:dyDescent="0.55000000000000004">
      <c r="A66" s="12" t="s">
        <v>85</v>
      </c>
      <c r="B66" s="12" t="s">
        <v>130</v>
      </c>
      <c r="C66" s="20" t="s">
        <v>14</v>
      </c>
      <c r="D66" s="13" t="s">
        <v>86</v>
      </c>
      <c r="E66" s="15">
        <v>2</v>
      </c>
      <c r="F66" s="15">
        <v>0</v>
      </c>
      <c r="G66" s="15">
        <v>0</v>
      </c>
      <c r="H66" s="15">
        <v>0</v>
      </c>
      <c r="I66" s="15">
        <f t="shared" si="0"/>
        <v>2</v>
      </c>
      <c r="J66" s="15">
        <v>0</v>
      </c>
    </row>
    <row r="67" spans="1:11" x14ac:dyDescent="0.55000000000000004">
      <c r="A67" s="12" t="s">
        <v>87</v>
      </c>
      <c r="B67" s="12" t="s">
        <v>130</v>
      </c>
      <c r="C67" s="20" t="s">
        <v>17</v>
      </c>
      <c r="D67" s="13" t="s">
        <v>21</v>
      </c>
      <c r="E67" s="15">
        <v>0</v>
      </c>
      <c r="F67" s="15">
        <v>0</v>
      </c>
      <c r="G67" s="15">
        <v>0</v>
      </c>
      <c r="H67" s="15">
        <v>0</v>
      </c>
      <c r="I67" s="15">
        <f t="shared" si="0"/>
        <v>0</v>
      </c>
      <c r="J67" s="15">
        <v>0</v>
      </c>
    </row>
    <row r="68" spans="1:11" x14ac:dyDescent="0.55000000000000004">
      <c r="A68" s="12" t="s">
        <v>88</v>
      </c>
      <c r="B68" s="12" t="s">
        <v>130</v>
      </c>
      <c r="C68" s="20" t="s">
        <v>20</v>
      </c>
      <c r="D68" s="13" t="s">
        <v>28</v>
      </c>
      <c r="E68" s="15">
        <v>2</v>
      </c>
      <c r="F68" s="15">
        <v>0</v>
      </c>
      <c r="G68" s="15">
        <v>0</v>
      </c>
      <c r="H68" s="15">
        <v>1</v>
      </c>
      <c r="I68" s="15">
        <f t="shared" si="0"/>
        <v>2</v>
      </c>
      <c r="J68" s="15">
        <v>0</v>
      </c>
    </row>
    <row r="69" spans="1:11" x14ac:dyDescent="0.55000000000000004">
      <c r="A69" s="12" t="s">
        <v>89</v>
      </c>
      <c r="B69" s="12" t="s">
        <v>130</v>
      </c>
      <c r="C69" s="20" t="s">
        <v>14</v>
      </c>
      <c r="D69" s="13" t="s">
        <v>90</v>
      </c>
      <c r="E69" s="15">
        <v>1</v>
      </c>
      <c r="F69" s="15">
        <v>1</v>
      </c>
      <c r="G69" s="15">
        <v>0</v>
      </c>
      <c r="H69" s="15">
        <v>0</v>
      </c>
      <c r="I69" s="15">
        <f t="shared" ref="I69:I100" si="1">SUM(E69,F69)</f>
        <v>2</v>
      </c>
      <c r="J69" s="15">
        <v>0</v>
      </c>
    </row>
    <row r="70" spans="1:11" x14ac:dyDescent="0.55000000000000004">
      <c r="A70" s="12" t="s">
        <v>91</v>
      </c>
      <c r="B70" s="12" t="s">
        <v>130</v>
      </c>
      <c r="C70" s="20" t="s">
        <v>17</v>
      </c>
      <c r="D70" s="13" t="s">
        <v>92</v>
      </c>
      <c r="E70" s="15">
        <v>0</v>
      </c>
      <c r="F70" s="15">
        <v>0</v>
      </c>
      <c r="G70" s="15">
        <v>0</v>
      </c>
      <c r="H70" s="15">
        <v>0</v>
      </c>
      <c r="I70" s="15">
        <f t="shared" si="1"/>
        <v>0</v>
      </c>
      <c r="J70" s="15">
        <v>0</v>
      </c>
    </row>
    <row r="71" spans="1:11" x14ac:dyDescent="0.55000000000000004">
      <c r="A71" s="12" t="s">
        <v>93</v>
      </c>
      <c r="B71" s="12" t="s">
        <v>130</v>
      </c>
      <c r="C71" s="20" t="s">
        <v>20</v>
      </c>
      <c r="D71" s="13" t="s">
        <v>28</v>
      </c>
      <c r="E71" s="15">
        <v>0</v>
      </c>
      <c r="F71" s="15">
        <v>0</v>
      </c>
      <c r="G71" s="15">
        <v>0</v>
      </c>
      <c r="H71" s="15">
        <v>0</v>
      </c>
      <c r="I71" s="15">
        <f t="shared" si="1"/>
        <v>0</v>
      </c>
      <c r="J71" s="15">
        <v>0</v>
      </c>
    </row>
    <row r="72" spans="1:11" x14ac:dyDescent="0.55000000000000004">
      <c r="A72" s="12" t="s">
        <v>94</v>
      </c>
      <c r="B72" s="12" t="s">
        <v>129</v>
      </c>
      <c r="C72" s="20" t="s">
        <v>14</v>
      </c>
      <c r="D72" s="13" t="s">
        <v>90</v>
      </c>
      <c r="E72" s="15">
        <v>3</v>
      </c>
      <c r="F72" s="15">
        <v>0</v>
      </c>
      <c r="G72" s="15">
        <v>0</v>
      </c>
      <c r="H72" s="15">
        <v>0</v>
      </c>
      <c r="I72" s="15">
        <f t="shared" si="1"/>
        <v>3</v>
      </c>
      <c r="J72" s="15">
        <v>1</v>
      </c>
      <c r="K72" t="s">
        <v>95</v>
      </c>
    </row>
    <row r="73" spans="1:11" x14ac:dyDescent="0.55000000000000004">
      <c r="A73" s="12" t="s">
        <v>96</v>
      </c>
      <c r="B73" s="12" t="s">
        <v>129</v>
      </c>
      <c r="C73" s="20" t="s">
        <v>17</v>
      </c>
      <c r="D73" s="13" t="s">
        <v>92</v>
      </c>
      <c r="E73" s="15">
        <v>0</v>
      </c>
      <c r="F73" s="15">
        <v>0</v>
      </c>
      <c r="G73" s="15">
        <v>0</v>
      </c>
      <c r="H73" s="15">
        <v>0</v>
      </c>
      <c r="I73" s="15">
        <f t="shared" si="1"/>
        <v>0</v>
      </c>
      <c r="J73" s="15">
        <v>0</v>
      </c>
    </row>
    <row r="74" spans="1:11" x14ac:dyDescent="0.55000000000000004">
      <c r="A74" s="12" t="s">
        <v>97</v>
      </c>
      <c r="B74" s="12" t="s">
        <v>129</v>
      </c>
      <c r="C74" s="20" t="s">
        <v>20</v>
      </c>
      <c r="D74" s="13" t="s">
        <v>21</v>
      </c>
      <c r="E74" s="15">
        <v>0</v>
      </c>
      <c r="F74" s="15">
        <v>0</v>
      </c>
      <c r="G74" s="15">
        <v>0</v>
      </c>
      <c r="H74" s="15">
        <v>0</v>
      </c>
      <c r="I74" s="15">
        <f t="shared" si="1"/>
        <v>0</v>
      </c>
      <c r="J74" s="15">
        <v>0</v>
      </c>
    </row>
    <row r="75" spans="1:11" x14ac:dyDescent="0.55000000000000004">
      <c r="A75" s="12" t="s">
        <v>98</v>
      </c>
      <c r="B75" s="12" t="s">
        <v>129</v>
      </c>
      <c r="C75" s="20" t="s">
        <v>14</v>
      </c>
      <c r="D75" s="13" t="s">
        <v>92</v>
      </c>
      <c r="E75" s="15">
        <v>0</v>
      </c>
      <c r="F75" s="15">
        <v>0</v>
      </c>
      <c r="G75" s="15">
        <v>0</v>
      </c>
      <c r="H75" s="15">
        <v>0</v>
      </c>
      <c r="I75" s="15">
        <f t="shared" si="1"/>
        <v>0</v>
      </c>
      <c r="J75" s="15">
        <v>0</v>
      </c>
    </row>
    <row r="76" spans="1:11" x14ac:dyDescent="0.55000000000000004">
      <c r="A76" s="12" t="s">
        <v>99</v>
      </c>
      <c r="B76" s="12" t="s">
        <v>128</v>
      </c>
      <c r="C76" s="20" t="s">
        <v>14</v>
      </c>
      <c r="D76" s="13" t="s">
        <v>90</v>
      </c>
      <c r="E76" s="15">
        <v>2</v>
      </c>
      <c r="F76" s="15">
        <v>0</v>
      </c>
      <c r="G76" s="15">
        <v>0</v>
      </c>
      <c r="H76" s="15">
        <v>0</v>
      </c>
      <c r="I76" s="15">
        <f t="shared" si="1"/>
        <v>2</v>
      </c>
      <c r="J76" s="15">
        <v>0</v>
      </c>
    </row>
    <row r="77" spans="1:11" x14ac:dyDescent="0.55000000000000004">
      <c r="A77" s="12" t="s">
        <v>100</v>
      </c>
      <c r="B77" s="12" t="s">
        <v>128</v>
      </c>
      <c r="C77" s="20" t="s">
        <v>17</v>
      </c>
      <c r="D77" s="13" t="s">
        <v>21</v>
      </c>
      <c r="E77" s="15">
        <v>0</v>
      </c>
      <c r="F77" s="15">
        <v>0</v>
      </c>
      <c r="G77" s="15">
        <v>0</v>
      </c>
      <c r="H77" s="15">
        <v>0</v>
      </c>
      <c r="I77" s="15">
        <f t="shared" si="1"/>
        <v>0</v>
      </c>
      <c r="J77" s="15">
        <v>0</v>
      </c>
    </row>
    <row r="78" spans="1:11" x14ac:dyDescent="0.55000000000000004">
      <c r="A78" s="12" t="s">
        <v>101</v>
      </c>
      <c r="B78" s="12" t="s">
        <v>128</v>
      </c>
      <c r="C78" s="20" t="s">
        <v>20</v>
      </c>
      <c r="D78" s="13" t="s">
        <v>28</v>
      </c>
      <c r="E78" s="15">
        <v>0</v>
      </c>
      <c r="F78" s="15">
        <v>0</v>
      </c>
      <c r="G78" s="15">
        <v>0</v>
      </c>
      <c r="H78" s="15">
        <v>0</v>
      </c>
      <c r="I78" s="15">
        <f t="shared" si="1"/>
        <v>0</v>
      </c>
      <c r="J78" s="15">
        <v>0</v>
      </c>
    </row>
    <row r="79" spans="1:11" x14ac:dyDescent="0.55000000000000004">
      <c r="A79" s="16" t="s">
        <v>102</v>
      </c>
      <c r="B79" s="12" t="s">
        <v>128</v>
      </c>
      <c r="C79" s="21" t="s">
        <v>14</v>
      </c>
      <c r="D79" s="17" t="s">
        <v>90</v>
      </c>
      <c r="E79" s="18">
        <v>0</v>
      </c>
      <c r="F79" s="18">
        <v>0</v>
      </c>
      <c r="G79" s="18">
        <v>0</v>
      </c>
      <c r="H79" s="18">
        <v>0</v>
      </c>
      <c r="I79" s="15">
        <f t="shared" si="1"/>
        <v>0</v>
      </c>
      <c r="J79" s="18">
        <v>0</v>
      </c>
    </row>
    <row r="80" spans="1:11" x14ac:dyDescent="0.55000000000000004">
      <c r="A80" s="22" t="s">
        <v>103</v>
      </c>
      <c r="B80" s="12" t="s">
        <v>128</v>
      </c>
      <c r="C80" s="20" t="s">
        <v>17</v>
      </c>
      <c r="D80" s="13" t="s">
        <v>15</v>
      </c>
      <c r="E80" s="15">
        <v>1</v>
      </c>
      <c r="F80" s="15">
        <v>0</v>
      </c>
      <c r="G80" s="15">
        <v>0</v>
      </c>
      <c r="H80" s="15">
        <v>0</v>
      </c>
      <c r="I80" s="15">
        <f t="shared" si="1"/>
        <v>1</v>
      </c>
      <c r="J80" s="15">
        <v>0</v>
      </c>
    </row>
    <row r="81" spans="1:10" x14ac:dyDescent="0.55000000000000004">
      <c r="A81" s="22" t="s">
        <v>104</v>
      </c>
      <c r="B81" s="12" t="s">
        <v>128</v>
      </c>
      <c r="C81" s="20" t="s">
        <v>20</v>
      </c>
      <c r="D81" s="13" t="s">
        <v>28</v>
      </c>
      <c r="E81" s="15">
        <v>2</v>
      </c>
      <c r="F81" s="15">
        <v>0</v>
      </c>
      <c r="G81" s="15">
        <v>0</v>
      </c>
      <c r="H81" s="15">
        <v>0</v>
      </c>
      <c r="I81" s="15">
        <f t="shared" si="1"/>
        <v>2</v>
      </c>
      <c r="J81" s="15">
        <v>0</v>
      </c>
    </row>
    <row r="82" spans="1:10" x14ac:dyDescent="0.55000000000000004">
      <c r="A82" s="22" t="s">
        <v>105</v>
      </c>
      <c r="B82" s="22" t="s">
        <v>127</v>
      </c>
      <c r="C82" s="20" t="s">
        <v>14</v>
      </c>
      <c r="D82" s="13" t="s">
        <v>90</v>
      </c>
      <c r="E82" s="15">
        <v>1</v>
      </c>
      <c r="F82" s="15">
        <v>0</v>
      </c>
      <c r="G82" s="15">
        <v>0</v>
      </c>
      <c r="H82" s="15">
        <v>0</v>
      </c>
      <c r="I82" s="15">
        <f t="shared" si="1"/>
        <v>1</v>
      </c>
      <c r="J82" s="15">
        <v>0</v>
      </c>
    </row>
    <row r="83" spans="1:10" x14ac:dyDescent="0.55000000000000004">
      <c r="A83" s="22" t="s">
        <v>106</v>
      </c>
      <c r="B83" s="22" t="s">
        <v>127</v>
      </c>
      <c r="C83" s="20" t="s">
        <v>17</v>
      </c>
      <c r="D83" s="13" t="s">
        <v>21</v>
      </c>
      <c r="E83" s="15">
        <v>0</v>
      </c>
      <c r="F83" s="15">
        <v>0</v>
      </c>
      <c r="G83" s="15">
        <v>0</v>
      </c>
      <c r="H83" s="15">
        <v>0</v>
      </c>
      <c r="I83" s="15">
        <f t="shared" si="1"/>
        <v>0</v>
      </c>
      <c r="J83" s="15">
        <v>0</v>
      </c>
    </row>
    <row r="84" spans="1:10" x14ac:dyDescent="0.55000000000000004">
      <c r="A84" s="22" t="s">
        <v>107</v>
      </c>
      <c r="B84" s="22" t="s">
        <v>127</v>
      </c>
      <c r="C84" s="20" t="s">
        <v>20</v>
      </c>
      <c r="D84" s="13" t="s">
        <v>108</v>
      </c>
      <c r="E84" s="15">
        <v>6</v>
      </c>
      <c r="F84" s="15">
        <v>0</v>
      </c>
      <c r="G84" s="15">
        <v>0</v>
      </c>
      <c r="H84" s="15">
        <v>0</v>
      </c>
      <c r="I84" s="15">
        <f t="shared" si="1"/>
        <v>6</v>
      </c>
      <c r="J84" s="15">
        <v>0</v>
      </c>
    </row>
    <row r="85" spans="1:10" x14ac:dyDescent="0.55000000000000004">
      <c r="A85" s="22" t="s">
        <v>109</v>
      </c>
      <c r="B85" s="22" t="s">
        <v>127</v>
      </c>
      <c r="C85" s="20" t="s">
        <v>14</v>
      </c>
      <c r="D85" s="13" t="s">
        <v>90</v>
      </c>
      <c r="E85" s="15">
        <v>0</v>
      </c>
      <c r="F85" s="15">
        <v>0</v>
      </c>
      <c r="G85" s="15">
        <v>0</v>
      </c>
      <c r="H85" s="15">
        <v>0</v>
      </c>
      <c r="I85" s="15">
        <f t="shared" si="1"/>
        <v>0</v>
      </c>
      <c r="J85" s="15">
        <v>0</v>
      </c>
    </row>
    <row r="86" spans="1:10" x14ac:dyDescent="0.55000000000000004">
      <c r="A86" s="22" t="s">
        <v>110</v>
      </c>
      <c r="B86" s="22" t="s">
        <v>127</v>
      </c>
      <c r="C86" s="20" t="s">
        <v>17</v>
      </c>
      <c r="D86" s="13" t="s">
        <v>15</v>
      </c>
      <c r="E86" s="15">
        <v>0</v>
      </c>
      <c r="F86" s="15">
        <v>0</v>
      </c>
      <c r="G86" s="15">
        <v>0</v>
      </c>
      <c r="H86" s="15">
        <v>0</v>
      </c>
      <c r="I86" s="15">
        <f t="shared" si="1"/>
        <v>0</v>
      </c>
      <c r="J86" s="15">
        <v>0</v>
      </c>
    </row>
    <row r="87" spans="1:10" x14ac:dyDescent="0.55000000000000004">
      <c r="A87" s="22" t="s">
        <v>111</v>
      </c>
      <c r="B87" s="22" t="s">
        <v>127</v>
      </c>
      <c r="C87" s="20" t="s">
        <v>20</v>
      </c>
      <c r="D87" s="13" t="s">
        <v>108</v>
      </c>
      <c r="E87" s="15">
        <v>3</v>
      </c>
      <c r="F87" s="15">
        <v>0</v>
      </c>
      <c r="G87" s="15">
        <v>0</v>
      </c>
      <c r="H87" s="15">
        <v>0</v>
      </c>
      <c r="I87" s="15">
        <f t="shared" si="1"/>
        <v>3</v>
      </c>
      <c r="J87" s="15">
        <v>0</v>
      </c>
    </row>
    <row r="88" spans="1:10" x14ac:dyDescent="0.55000000000000004">
      <c r="A88" s="22" t="s">
        <v>112</v>
      </c>
      <c r="B88" s="22" t="s">
        <v>127</v>
      </c>
      <c r="C88" s="20" t="s">
        <v>14</v>
      </c>
      <c r="D88" s="13" t="s">
        <v>90</v>
      </c>
      <c r="E88" s="15">
        <v>0</v>
      </c>
      <c r="F88" s="15">
        <v>0</v>
      </c>
      <c r="G88" s="15">
        <v>0</v>
      </c>
      <c r="H88" s="15">
        <v>0</v>
      </c>
      <c r="I88" s="15">
        <f t="shared" si="1"/>
        <v>0</v>
      </c>
      <c r="J88" s="15">
        <v>0</v>
      </c>
    </row>
    <row r="89" spans="1:10" x14ac:dyDescent="0.55000000000000004">
      <c r="A89" s="23" t="s">
        <v>113</v>
      </c>
      <c r="B89" s="23" t="s">
        <v>127</v>
      </c>
      <c r="C89" s="21" t="s">
        <v>17</v>
      </c>
      <c r="D89" s="17" t="s">
        <v>21</v>
      </c>
      <c r="E89" s="18">
        <v>0</v>
      </c>
      <c r="F89" s="18">
        <v>0</v>
      </c>
      <c r="G89" s="18">
        <v>0</v>
      </c>
      <c r="H89" s="18">
        <v>0</v>
      </c>
      <c r="I89" s="15">
        <f t="shared" si="1"/>
        <v>0</v>
      </c>
      <c r="J89" s="15">
        <v>0</v>
      </c>
    </row>
    <row r="90" spans="1:10" x14ac:dyDescent="0.55000000000000004">
      <c r="A90" s="22" t="s">
        <v>114</v>
      </c>
      <c r="B90" s="22" t="s">
        <v>127</v>
      </c>
      <c r="C90" s="20" t="s">
        <v>20</v>
      </c>
      <c r="D90" s="13" t="s">
        <v>108</v>
      </c>
      <c r="E90" s="15">
        <v>6</v>
      </c>
      <c r="F90" s="15">
        <v>0</v>
      </c>
      <c r="G90" s="15">
        <v>0</v>
      </c>
      <c r="H90" s="15">
        <v>0</v>
      </c>
      <c r="I90" s="15">
        <f t="shared" si="1"/>
        <v>6</v>
      </c>
      <c r="J90" s="15">
        <v>0</v>
      </c>
    </row>
    <row r="91" spans="1:10" x14ac:dyDescent="0.55000000000000004">
      <c r="A91" s="22" t="s">
        <v>115</v>
      </c>
      <c r="B91" s="22" t="s">
        <v>126</v>
      </c>
      <c r="C91" s="20" t="s">
        <v>14</v>
      </c>
      <c r="D91" s="13" t="s">
        <v>90</v>
      </c>
      <c r="E91" s="15">
        <v>7</v>
      </c>
      <c r="F91" s="15">
        <v>0</v>
      </c>
      <c r="G91" s="15">
        <v>0</v>
      </c>
      <c r="H91" s="15">
        <v>0</v>
      </c>
      <c r="I91" s="15">
        <f t="shared" si="1"/>
        <v>7</v>
      </c>
      <c r="J91" s="15">
        <v>0</v>
      </c>
    </row>
    <row r="92" spans="1:10" x14ac:dyDescent="0.55000000000000004">
      <c r="A92" s="22" t="s">
        <v>116</v>
      </c>
      <c r="B92" s="22" t="s">
        <v>126</v>
      </c>
      <c r="C92" s="20" t="s">
        <v>14</v>
      </c>
      <c r="D92" s="13" t="s">
        <v>15</v>
      </c>
      <c r="E92" s="15">
        <v>2</v>
      </c>
      <c r="F92" s="15">
        <v>0</v>
      </c>
      <c r="G92" s="15">
        <v>0</v>
      </c>
      <c r="H92" s="15">
        <v>0</v>
      </c>
      <c r="I92" s="15">
        <f t="shared" si="1"/>
        <v>2</v>
      </c>
      <c r="J92" s="15">
        <v>0</v>
      </c>
    </row>
    <row r="93" spans="1:10" x14ac:dyDescent="0.55000000000000004">
      <c r="A93" s="22" t="s">
        <v>117</v>
      </c>
      <c r="B93" s="22" t="s">
        <v>126</v>
      </c>
      <c r="C93" s="20" t="s">
        <v>17</v>
      </c>
      <c r="D93" s="13" t="s">
        <v>21</v>
      </c>
      <c r="E93" s="15">
        <v>0</v>
      </c>
      <c r="F93" s="15">
        <v>0</v>
      </c>
      <c r="G93" s="15">
        <v>0</v>
      </c>
      <c r="H93" s="15">
        <v>0</v>
      </c>
      <c r="I93" s="15">
        <f t="shared" si="1"/>
        <v>0</v>
      </c>
      <c r="J93" s="15">
        <v>0</v>
      </c>
    </row>
    <row r="94" spans="1:10" x14ac:dyDescent="0.55000000000000004">
      <c r="A94" s="22" t="s">
        <v>118</v>
      </c>
      <c r="B94" s="22" t="s">
        <v>126</v>
      </c>
      <c r="C94" s="20" t="s">
        <v>20</v>
      </c>
      <c r="D94" s="13" t="s">
        <v>108</v>
      </c>
      <c r="E94" s="15">
        <v>1</v>
      </c>
      <c r="F94" s="15">
        <v>0</v>
      </c>
      <c r="G94" s="15">
        <v>0</v>
      </c>
      <c r="H94" s="15">
        <v>0</v>
      </c>
      <c r="I94" s="15">
        <f t="shared" si="1"/>
        <v>1</v>
      </c>
      <c r="J94" s="15">
        <v>0</v>
      </c>
    </row>
    <row r="95" spans="1:10" x14ac:dyDescent="0.55000000000000004">
      <c r="A95" s="22" t="s">
        <v>119</v>
      </c>
      <c r="B95" s="35">
        <v>45536</v>
      </c>
      <c r="C95" s="20" t="s">
        <v>14</v>
      </c>
      <c r="D95" s="13" t="s">
        <v>90</v>
      </c>
      <c r="E95" s="15">
        <v>0</v>
      </c>
      <c r="F95" s="15">
        <v>0</v>
      </c>
      <c r="G95" s="15">
        <v>0</v>
      </c>
      <c r="H95" s="15">
        <v>0</v>
      </c>
      <c r="I95" s="15">
        <f t="shared" si="1"/>
        <v>0</v>
      </c>
      <c r="J95" s="15">
        <v>0</v>
      </c>
    </row>
    <row r="96" spans="1:10" x14ac:dyDescent="0.55000000000000004">
      <c r="A96" s="22" t="s">
        <v>120</v>
      </c>
      <c r="B96" s="35">
        <v>45536</v>
      </c>
      <c r="C96" s="20" t="s">
        <v>17</v>
      </c>
      <c r="D96" s="13" t="s">
        <v>15</v>
      </c>
      <c r="E96" s="15">
        <v>0</v>
      </c>
      <c r="F96" s="15">
        <v>0</v>
      </c>
      <c r="G96" s="15">
        <v>0</v>
      </c>
      <c r="H96" s="15">
        <v>0</v>
      </c>
      <c r="I96" s="15">
        <f t="shared" si="1"/>
        <v>0</v>
      </c>
      <c r="J96" s="15">
        <v>0</v>
      </c>
    </row>
    <row r="97" spans="1:10" x14ac:dyDescent="0.55000000000000004">
      <c r="A97" s="22" t="s">
        <v>121</v>
      </c>
      <c r="B97" s="35">
        <v>45536</v>
      </c>
      <c r="C97" s="20" t="s">
        <v>20</v>
      </c>
      <c r="D97" s="13" t="s">
        <v>108</v>
      </c>
      <c r="E97" s="15">
        <v>6</v>
      </c>
      <c r="F97" s="15">
        <v>0</v>
      </c>
      <c r="G97" s="15">
        <v>1</v>
      </c>
      <c r="H97" s="15">
        <v>0</v>
      </c>
      <c r="I97" s="15">
        <f t="shared" si="1"/>
        <v>6</v>
      </c>
      <c r="J97" s="15">
        <v>0</v>
      </c>
    </row>
    <row r="98" spans="1:10" x14ac:dyDescent="0.55000000000000004">
      <c r="A98" s="22" t="s">
        <v>122</v>
      </c>
      <c r="B98" s="35">
        <v>45536</v>
      </c>
      <c r="C98" s="20" t="s">
        <v>14</v>
      </c>
      <c r="D98" s="13" t="s">
        <v>90</v>
      </c>
      <c r="E98" s="15">
        <v>1</v>
      </c>
      <c r="F98" s="15">
        <v>0</v>
      </c>
      <c r="G98" s="15">
        <v>0</v>
      </c>
      <c r="H98" s="15">
        <v>0</v>
      </c>
      <c r="I98" s="15">
        <f t="shared" si="1"/>
        <v>1</v>
      </c>
      <c r="J98" s="15">
        <v>0</v>
      </c>
    </row>
    <row r="99" spans="1:10" x14ac:dyDescent="0.55000000000000004">
      <c r="A99" s="23" t="s">
        <v>123</v>
      </c>
      <c r="B99" s="35">
        <v>45536</v>
      </c>
      <c r="C99" s="21" t="s">
        <v>17</v>
      </c>
      <c r="D99" s="17" t="s">
        <v>21</v>
      </c>
      <c r="E99" s="18">
        <v>0</v>
      </c>
      <c r="F99" s="18">
        <v>0</v>
      </c>
      <c r="G99" s="18">
        <v>0</v>
      </c>
      <c r="H99" s="18">
        <v>0</v>
      </c>
      <c r="I99" s="15">
        <f t="shared" si="1"/>
        <v>0</v>
      </c>
      <c r="J99" s="18">
        <v>0</v>
      </c>
    </row>
    <row r="100" spans="1:10" x14ac:dyDescent="0.55000000000000004">
      <c r="A100" s="22" t="s">
        <v>124</v>
      </c>
      <c r="B100" s="35">
        <v>45536</v>
      </c>
      <c r="C100" s="20" t="s">
        <v>20</v>
      </c>
      <c r="D100" s="13" t="s">
        <v>15</v>
      </c>
      <c r="E100" s="15">
        <v>0</v>
      </c>
      <c r="F100" s="15">
        <v>0</v>
      </c>
      <c r="G100" s="15">
        <v>0</v>
      </c>
      <c r="H100" s="15">
        <v>0</v>
      </c>
      <c r="I100" s="15">
        <f t="shared" si="1"/>
        <v>0</v>
      </c>
      <c r="J100" s="15">
        <v>0</v>
      </c>
    </row>
    <row r="101" spans="1:10" x14ac:dyDescent="0.55000000000000004">
      <c r="A101" s="12"/>
      <c r="B101" s="12"/>
      <c r="C101" s="20"/>
      <c r="D101" s="13"/>
      <c r="E101" s="15"/>
      <c r="F101" s="15"/>
      <c r="G101" s="15"/>
      <c r="H101" s="15"/>
      <c r="I101" s="15"/>
      <c r="J101" s="15"/>
    </row>
    <row r="102" spans="1:10" x14ac:dyDescent="0.55000000000000004">
      <c r="A102" s="12"/>
      <c r="B102" s="12"/>
      <c r="C102" s="20"/>
      <c r="D102" s="13"/>
      <c r="E102" s="15"/>
      <c r="F102" s="15"/>
      <c r="G102" s="15"/>
      <c r="H102" s="15"/>
      <c r="I102" s="15"/>
      <c r="J102" s="15"/>
    </row>
    <row r="103" spans="1:10" x14ac:dyDescent="0.55000000000000004">
      <c r="A103" s="12"/>
      <c r="B103" s="12"/>
      <c r="C103" s="20"/>
      <c r="D103" s="13"/>
      <c r="E103" s="15"/>
      <c r="F103" s="15"/>
      <c r="G103" s="15"/>
      <c r="H103" s="15"/>
      <c r="I103" s="15"/>
      <c r="J103" s="15"/>
    </row>
    <row r="104" spans="1:10" x14ac:dyDescent="0.55000000000000004">
      <c r="A104" s="12"/>
      <c r="B104" s="12"/>
      <c r="C104" s="20"/>
      <c r="D104" s="13"/>
      <c r="E104" s="15"/>
      <c r="F104" s="15"/>
      <c r="G104" s="15"/>
      <c r="H104" s="15"/>
      <c r="I104" s="15"/>
      <c r="J104" s="15"/>
    </row>
    <row r="105" spans="1:10" x14ac:dyDescent="0.55000000000000004">
      <c r="A105" s="12"/>
      <c r="B105" s="12"/>
      <c r="C105" s="20"/>
      <c r="D105" s="13"/>
      <c r="E105" s="15"/>
      <c r="F105" s="15"/>
      <c r="G105" s="15"/>
      <c r="H105" s="15"/>
      <c r="I105" s="15"/>
      <c r="J105" s="15"/>
    </row>
    <row r="106" spans="1:10" x14ac:dyDescent="0.55000000000000004">
      <c r="A106" s="12"/>
      <c r="B106" s="12"/>
      <c r="C106" s="20"/>
      <c r="D106" s="13"/>
      <c r="E106" s="15"/>
      <c r="F106" s="15"/>
      <c r="G106" s="15"/>
      <c r="H106" s="15"/>
      <c r="I106" s="15"/>
      <c r="J106" s="15"/>
    </row>
    <row r="107" spans="1:10" x14ac:dyDescent="0.55000000000000004">
      <c r="A107" s="12"/>
      <c r="B107" s="12"/>
      <c r="C107" s="20"/>
      <c r="D107" s="13"/>
      <c r="E107" s="15"/>
      <c r="F107" s="15"/>
      <c r="G107" s="15"/>
      <c r="H107" s="15"/>
      <c r="I107" s="15"/>
      <c r="J107" s="15"/>
    </row>
    <row r="108" spans="1:10" x14ac:dyDescent="0.55000000000000004">
      <c r="A108" s="12"/>
      <c r="B108" s="12"/>
      <c r="C108" s="20"/>
      <c r="D108" s="13"/>
      <c r="E108" s="15"/>
      <c r="F108" s="15"/>
      <c r="G108" s="15"/>
      <c r="H108" s="15"/>
      <c r="I108" s="15"/>
      <c r="J108" s="15"/>
    </row>
    <row r="109" spans="1:10" x14ac:dyDescent="0.55000000000000004">
      <c r="A109" s="12"/>
      <c r="B109" s="12"/>
      <c r="C109" s="20"/>
      <c r="D109" s="13"/>
      <c r="E109" s="15"/>
      <c r="F109" s="15"/>
      <c r="G109" s="15"/>
      <c r="H109" s="15"/>
      <c r="I109" s="15"/>
      <c r="J109" s="15"/>
    </row>
    <row r="110" spans="1:10" x14ac:dyDescent="0.55000000000000004">
      <c r="A110" s="12"/>
      <c r="B110" s="12"/>
      <c r="C110" s="20"/>
      <c r="D110" s="13"/>
      <c r="E110" s="15"/>
      <c r="F110" s="15"/>
      <c r="G110" s="15"/>
      <c r="H110" s="15"/>
      <c r="I110" s="15"/>
      <c r="J110" s="15"/>
    </row>
    <row r="111" spans="1:10" x14ac:dyDescent="0.55000000000000004">
      <c r="A111" s="12"/>
      <c r="B111" s="12"/>
      <c r="C111" s="20"/>
      <c r="D111" s="13"/>
      <c r="E111" s="15"/>
      <c r="F111" s="15"/>
      <c r="G111" s="15"/>
      <c r="H111" s="15"/>
      <c r="I111" s="15"/>
      <c r="J111" s="15"/>
    </row>
    <row r="112" spans="1:10" x14ac:dyDescent="0.55000000000000004">
      <c r="A112" s="12"/>
      <c r="B112" s="12"/>
      <c r="C112" s="20"/>
      <c r="D112" s="13"/>
      <c r="E112" s="15"/>
      <c r="F112" s="15"/>
      <c r="G112" s="15"/>
      <c r="H112" s="15"/>
      <c r="I112" s="15"/>
      <c r="J112" s="15"/>
    </row>
    <row r="113" spans="1:11" x14ac:dyDescent="0.55000000000000004">
      <c r="A113" s="12"/>
      <c r="B113" s="12"/>
      <c r="C113" s="20"/>
      <c r="D113" s="13"/>
      <c r="E113" s="15"/>
      <c r="F113" s="15"/>
      <c r="G113" s="15"/>
      <c r="H113" s="15"/>
      <c r="I113" s="15"/>
      <c r="J113" s="15"/>
    </row>
    <row r="114" spans="1:11" x14ac:dyDescent="0.55000000000000004">
      <c r="A114" s="12"/>
      <c r="B114" s="12"/>
      <c r="C114" s="20"/>
      <c r="D114" s="13"/>
      <c r="E114" s="15"/>
      <c r="F114" s="15"/>
      <c r="G114" s="15"/>
      <c r="H114" s="15"/>
      <c r="I114" s="15"/>
      <c r="J114" s="15"/>
    </row>
    <row r="115" spans="1:11" x14ac:dyDescent="0.55000000000000004">
      <c r="A115" s="12"/>
      <c r="B115" s="12"/>
      <c r="C115" s="20"/>
      <c r="D115" s="13"/>
      <c r="E115" s="15"/>
      <c r="F115" s="15"/>
      <c r="G115" s="15"/>
      <c r="H115" s="15"/>
      <c r="I115" s="15"/>
      <c r="J115" s="15"/>
    </row>
    <row r="116" spans="1:11" x14ac:dyDescent="0.55000000000000004">
      <c r="A116" s="12"/>
      <c r="B116" s="12"/>
      <c r="C116" s="20"/>
      <c r="D116" s="13"/>
      <c r="E116" s="15"/>
      <c r="F116" s="15"/>
      <c r="G116" s="15"/>
      <c r="H116" s="15"/>
      <c r="I116" s="15"/>
      <c r="J116" s="15"/>
    </row>
    <row r="117" spans="1:11" x14ac:dyDescent="0.55000000000000004">
      <c r="A117" s="12"/>
      <c r="B117" s="12"/>
      <c r="C117" s="20"/>
      <c r="D117" s="13"/>
      <c r="E117" s="15"/>
      <c r="F117" s="15"/>
      <c r="G117" s="15"/>
      <c r="H117" s="15"/>
      <c r="I117" s="15"/>
      <c r="J117" s="15"/>
    </row>
    <row r="118" spans="1:11" x14ac:dyDescent="0.55000000000000004">
      <c r="A118" s="12"/>
      <c r="B118" s="12"/>
      <c r="C118" s="20"/>
      <c r="D118" s="13"/>
      <c r="E118" s="15"/>
      <c r="F118" s="15"/>
      <c r="G118" s="15"/>
      <c r="H118" s="15"/>
      <c r="I118" s="15"/>
      <c r="J118" s="15"/>
    </row>
    <row r="119" spans="1:11" x14ac:dyDescent="0.55000000000000004">
      <c r="A119" s="16"/>
      <c r="B119" s="16"/>
      <c r="C119" s="21"/>
      <c r="D119" s="17"/>
      <c r="E119" s="18"/>
      <c r="F119" s="18"/>
      <c r="G119" s="18"/>
      <c r="H119" s="18"/>
      <c r="I119" s="18"/>
      <c r="J119" s="18"/>
    </row>
    <row r="120" spans="1:11" x14ac:dyDescent="0.55000000000000004">
      <c r="A120" s="24" t="s">
        <v>125</v>
      </c>
      <c r="B120" s="24"/>
      <c r="C120" s="24"/>
      <c r="D120" s="17"/>
      <c r="E120" s="18">
        <f>SUBTOTAL(109,テーブル13[ケアレスミス])</f>
        <v>103</v>
      </c>
      <c r="F120" s="15">
        <f>SUBTOTAL(109,テーブル13[解釈])</f>
        <v>7</v>
      </c>
      <c r="G120" s="15">
        <f>SUBTOTAL(109,テーブル13[マニュアル])</f>
        <v>1</v>
      </c>
      <c r="H120" s="15">
        <f>SUBTOTAL(109,テーブル13[その他])</f>
        <v>1</v>
      </c>
      <c r="I120" s="15">
        <f>SUBTOTAL(109,テーブル13[FB数合計])</f>
        <v>110</v>
      </c>
      <c r="J120" s="15">
        <f>SUBTOTAL(109,テーブル13[インシデント])</f>
        <v>2</v>
      </c>
      <c r="K120" s="25"/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EEB2-C3B1-4313-81AD-8B5A73D72358}">
  <sheetPr codeName="Sheet25">
    <tabColor theme="7"/>
  </sheetPr>
  <dimension ref="A1:N19"/>
  <sheetViews>
    <sheetView tabSelected="1" workbookViewId="0">
      <selection activeCell="M14" sqref="M1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10" width="11.33203125" bestFit="1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14" x14ac:dyDescent="0.55000000000000004">
      <c r="A1" s="1" t="s">
        <v>132</v>
      </c>
      <c r="B1" s="3"/>
      <c r="C1" s="4"/>
      <c r="D1" s="4"/>
      <c r="E1" s="4"/>
      <c r="F1" s="4"/>
      <c r="G1" s="4"/>
    </row>
    <row r="2" spans="1:14" x14ac:dyDescent="0.55000000000000004">
      <c r="A2" s="4"/>
      <c r="B2" s="3"/>
      <c r="C2" s="4"/>
      <c r="D2" s="4"/>
      <c r="E2" s="4"/>
      <c r="F2" s="4"/>
      <c r="G2" s="4"/>
    </row>
    <row r="3" spans="1:14" x14ac:dyDescent="0.55000000000000004">
      <c r="A3" s="33"/>
      <c r="B3" s="34"/>
      <c r="C3" s="34"/>
      <c r="D3" s="34"/>
      <c r="E3" s="34"/>
      <c r="F3" s="34"/>
      <c r="G3" s="34"/>
      <c r="H3" s="34"/>
      <c r="I3" s="34"/>
      <c r="J3" s="34"/>
      <c r="K3" s="26"/>
      <c r="N3" s="26" t="s">
        <v>133</v>
      </c>
    </row>
    <row r="4" spans="1:14" x14ac:dyDescent="0.55000000000000004">
      <c r="A4" s="15" t="s">
        <v>134</v>
      </c>
      <c r="B4" s="20">
        <v>45536</v>
      </c>
      <c r="C4" s="20">
        <v>45536</v>
      </c>
      <c r="D4" s="20">
        <v>45536</v>
      </c>
      <c r="E4" s="20">
        <v>45536</v>
      </c>
      <c r="F4" s="20">
        <v>45536</v>
      </c>
      <c r="G4" s="20">
        <v>45536</v>
      </c>
      <c r="H4" s="20"/>
      <c r="I4" s="20"/>
      <c r="J4" s="20"/>
      <c r="N4" s="27">
        <v>45536</v>
      </c>
    </row>
    <row r="5" spans="1:14" x14ac:dyDescent="0.55000000000000004">
      <c r="A5" s="28" t="s">
        <v>4</v>
      </c>
      <c r="B5" s="29" t="s">
        <v>136</v>
      </c>
      <c r="C5" s="29" t="s">
        <v>137</v>
      </c>
      <c r="D5" s="29" t="s">
        <v>149</v>
      </c>
      <c r="E5" s="29" t="s">
        <v>136</v>
      </c>
      <c r="F5" s="29" t="s">
        <v>137</v>
      </c>
      <c r="G5" s="29" t="s">
        <v>149</v>
      </c>
      <c r="H5" s="29"/>
      <c r="I5" s="29"/>
      <c r="J5" s="29"/>
    </row>
    <row r="6" spans="1:14" x14ac:dyDescent="0.55000000000000004">
      <c r="A6" s="15" t="s">
        <v>135</v>
      </c>
      <c r="B6" s="13" t="s">
        <v>148</v>
      </c>
      <c r="C6" s="13" t="s">
        <v>92</v>
      </c>
      <c r="D6" s="13" t="s">
        <v>150</v>
      </c>
      <c r="E6" s="13" t="s">
        <v>148</v>
      </c>
      <c r="F6" s="13" t="s">
        <v>151</v>
      </c>
      <c r="G6" s="13" t="s">
        <v>92</v>
      </c>
      <c r="H6" s="13"/>
      <c r="I6" s="13"/>
      <c r="J6" s="13"/>
    </row>
    <row r="7" spans="1:14" x14ac:dyDescent="0.55000000000000004">
      <c r="A7" s="30" t="s">
        <v>138</v>
      </c>
      <c r="B7" s="31">
        <v>0</v>
      </c>
      <c r="C7" s="31">
        <v>0</v>
      </c>
      <c r="D7" s="31">
        <v>6</v>
      </c>
      <c r="E7" s="32">
        <v>1</v>
      </c>
      <c r="F7" s="31">
        <v>0</v>
      </c>
      <c r="G7" s="31">
        <v>0</v>
      </c>
      <c r="H7" s="31"/>
      <c r="I7" s="31"/>
      <c r="J7" s="31"/>
    </row>
    <row r="8" spans="1:14" x14ac:dyDescent="0.55000000000000004">
      <c r="A8" s="30" t="s">
        <v>139</v>
      </c>
      <c r="B8" s="31">
        <v>0</v>
      </c>
      <c r="C8" s="31">
        <v>0</v>
      </c>
      <c r="D8" s="31">
        <v>0</v>
      </c>
      <c r="E8" s="32">
        <v>0</v>
      </c>
      <c r="F8" s="31">
        <v>0</v>
      </c>
      <c r="G8" s="31">
        <v>0</v>
      </c>
      <c r="H8" s="31"/>
      <c r="I8" s="31"/>
      <c r="J8" s="31"/>
    </row>
    <row r="9" spans="1:14" x14ac:dyDescent="0.55000000000000004">
      <c r="A9" s="30" t="s">
        <v>140</v>
      </c>
      <c r="B9" s="31">
        <v>0</v>
      </c>
      <c r="C9" s="31">
        <v>0</v>
      </c>
      <c r="D9" s="31">
        <v>1</v>
      </c>
      <c r="E9" s="32">
        <v>0</v>
      </c>
      <c r="F9" s="31">
        <v>0</v>
      </c>
      <c r="G9" s="31">
        <v>0</v>
      </c>
      <c r="H9" s="31"/>
      <c r="I9" s="31"/>
      <c r="J9" s="31"/>
    </row>
    <row r="10" spans="1:14" x14ac:dyDescent="0.55000000000000004">
      <c r="A10" s="30" t="s">
        <v>141</v>
      </c>
      <c r="B10" s="31">
        <v>0</v>
      </c>
      <c r="C10" s="31">
        <v>0</v>
      </c>
      <c r="D10" s="31">
        <v>0</v>
      </c>
      <c r="E10" s="32">
        <v>0</v>
      </c>
      <c r="F10" s="31">
        <v>0</v>
      </c>
      <c r="G10" s="31">
        <v>0</v>
      </c>
      <c r="H10" s="31"/>
      <c r="I10" s="31"/>
      <c r="J10" s="31"/>
    </row>
    <row r="11" spans="1:14" x14ac:dyDescent="0.55000000000000004">
      <c r="A11" s="30" t="s">
        <v>142</v>
      </c>
      <c r="B11" s="31">
        <v>0</v>
      </c>
      <c r="C11" s="31">
        <v>0</v>
      </c>
      <c r="D11" s="31">
        <v>0</v>
      </c>
      <c r="E11" s="32">
        <v>0</v>
      </c>
      <c r="F11" s="31">
        <v>0</v>
      </c>
      <c r="G11" s="31">
        <v>0</v>
      </c>
      <c r="H11" s="31"/>
      <c r="I11" s="31"/>
      <c r="J11" s="31"/>
    </row>
    <row r="14" spans="1:14" x14ac:dyDescent="0.55000000000000004">
      <c r="A14" s="15" t="s">
        <v>143</v>
      </c>
      <c r="B14" s="13" t="s">
        <v>92</v>
      </c>
      <c r="C14" s="13" t="s">
        <v>21</v>
      </c>
      <c r="D14" s="13" t="s">
        <v>144</v>
      </c>
      <c r="E14" s="13" t="s">
        <v>90</v>
      </c>
      <c r="F14" s="13" t="s">
        <v>18</v>
      </c>
      <c r="G14" s="13" t="s">
        <v>86</v>
      </c>
      <c r="H14" s="13" t="s">
        <v>108</v>
      </c>
      <c r="I14" s="13" t="s">
        <v>145</v>
      </c>
    </row>
    <row r="15" spans="1:14" x14ac:dyDescent="0.55000000000000004">
      <c r="A15" s="15" t="s">
        <v>146</v>
      </c>
      <c r="B15" s="15">
        <f>SUMIF(B6:J6,B14,B7:J7)</f>
        <v>0</v>
      </c>
      <c r="C15" s="15">
        <f>SUMIF(B6:J6,C14,B7:J7)</f>
        <v>0</v>
      </c>
      <c r="D15" s="15">
        <f>SUMIF(B6:J6,D14,B7:J7)</f>
        <v>0</v>
      </c>
      <c r="E15" s="15">
        <f>SUMIF(B6:J6,E14,B7:J7)</f>
        <v>1</v>
      </c>
      <c r="F15" s="15">
        <f>SUMIF(B6:J6,F14,B7:J7)</f>
        <v>0</v>
      </c>
      <c r="G15" s="15">
        <f>SUMIF(B6:J6,G14,B7:J7)</f>
        <v>0</v>
      </c>
      <c r="H15" s="15">
        <f>SUMIF(B6:J6,H14,B7:J7)</f>
        <v>6</v>
      </c>
      <c r="I15" s="15">
        <f>SUMIF(B6:J6,I14,B7:J7)</f>
        <v>0</v>
      </c>
    </row>
    <row r="16" spans="1:14" x14ac:dyDescent="0.55000000000000004">
      <c r="A16" s="15" t="s">
        <v>147</v>
      </c>
      <c r="B16" s="15">
        <f>SUMIF(B6:J6,B14,B8:J8)</f>
        <v>0</v>
      </c>
      <c r="C16" s="15">
        <f>SUMIF(B6:J6,C14,B8:J8)</f>
        <v>0</v>
      </c>
      <c r="D16" s="15">
        <f>SUMIF(B6:J6,D14,B8:J8)</f>
        <v>0</v>
      </c>
      <c r="E16" s="15">
        <f>SUMIF(B6:J6,E14,B8:J8)</f>
        <v>0</v>
      </c>
      <c r="F16" s="15">
        <f>SUMIF(B6:J6,F14,B8:J8)</f>
        <v>0</v>
      </c>
      <c r="G16" s="15">
        <f>SUMIF(B6:J6,G14,B8:J8)</f>
        <v>0</v>
      </c>
      <c r="H16" s="15">
        <f>SUMIF(B6:J6,H14,B8:J8)</f>
        <v>0</v>
      </c>
      <c r="I16" s="15">
        <f>SUMIF(B6:J6,I14,B8:J8)</f>
        <v>0</v>
      </c>
    </row>
    <row r="17" spans="1:9" x14ac:dyDescent="0.55000000000000004">
      <c r="A17" s="15" t="s">
        <v>8</v>
      </c>
      <c r="B17" s="15">
        <f>SUMIF(B6:J6,B14,B9:J9)</f>
        <v>0</v>
      </c>
      <c r="C17" s="15">
        <f>SUMIF(B6:J6,C14,B9:J9)</f>
        <v>0</v>
      </c>
      <c r="D17" s="15">
        <f>SUMIF(B6:J6,D14,B9:J9)</f>
        <v>0</v>
      </c>
      <c r="E17" s="15">
        <f>SUMIF(B6:J6,E14,B9:J9)</f>
        <v>0</v>
      </c>
      <c r="F17" s="15">
        <f>SUMIF(B6:J6,F14,B9:J9)</f>
        <v>0</v>
      </c>
      <c r="G17" s="15">
        <f>SUMIF(B6:J6,G14,B9:J9)</f>
        <v>0</v>
      </c>
      <c r="H17" s="15">
        <f>SUMIF(B6:J6,H14,B9:J9)</f>
        <v>1</v>
      </c>
      <c r="I17" s="15">
        <f ca="1">SUMIF(B6:J6,I14,B9:I9)</f>
        <v>0</v>
      </c>
    </row>
    <row r="18" spans="1:9" x14ac:dyDescent="0.55000000000000004">
      <c r="A18" s="15" t="s">
        <v>9</v>
      </c>
      <c r="B18" s="15">
        <f>SUMIF(B6:J6,B14,B10:J10)</f>
        <v>0</v>
      </c>
      <c r="C18" s="15">
        <f>SUMIF(B6:J6,C14,B10:J10)</f>
        <v>0</v>
      </c>
      <c r="D18" s="15">
        <f>SUMIF(B6:J6,D14,B10:J10)</f>
        <v>0</v>
      </c>
      <c r="E18" s="15">
        <f>SUMIF(B6:J6,E14,B10:J10)</f>
        <v>0</v>
      </c>
      <c r="F18" s="15">
        <f>SUMIF(B6:J6,F14,B10:J10)</f>
        <v>0</v>
      </c>
      <c r="G18" s="15">
        <f>SUMIF(B6:J6,G14,B10:J10)</f>
        <v>0</v>
      </c>
      <c r="H18" s="15">
        <f>SUMIF(B6:J6,H14,B10:J10)</f>
        <v>0</v>
      </c>
      <c r="I18" s="15">
        <f>SUMIF(B6:J6,I14,B10:J10)</f>
        <v>0</v>
      </c>
    </row>
    <row r="19" spans="1:9" x14ac:dyDescent="0.55000000000000004">
      <c r="A19" s="15" t="s">
        <v>11</v>
      </c>
      <c r="B19" s="15">
        <f>SUMIF(B6:J6,B14,B11:J11)</f>
        <v>0</v>
      </c>
      <c r="C19" s="15">
        <f>SUMIF(B6:J6,C14,B11:J11)</f>
        <v>0</v>
      </c>
      <c r="D19" s="15">
        <f>SUMIF(B6:J6,D14,B11:J11)</f>
        <v>0</v>
      </c>
      <c r="E19" s="15">
        <f>SUMIF(B6:J6,E14,B11:J11)</f>
        <v>0</v>
      </c>
      <c r="F19" s="15">
        <f>SUMIF(B6:J6,F14,B11:J11)</f>
        <v>0</v>
      </c>
      <c r="G19" s="15">
        <f>SUMIF(B6:J6,G14,B11:J11)</f>
        <v>0</v>
      </c>
      <c r="H19" s="15">
        <f>SUMIF(B6:J6,H14,B11:J11)</f>
        <v>0</v>
      </c>
      <c r="I19" s="15">
        <f>SUMIF(B6:J6,I14,B11:J11)</f>
        <v>0</v>
      </c>
    </row>
  </sheetData>
  <phoneticPr fontId="2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I&amp;D(FB件数)</vt:lpstr>
      <vt:lpstr>作業用 (I&amp;D集計用)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2024-10-21T05:21:26Z</dcterms:created>
  <dcterms:modified xsi:type="dcterms:W3CDTF">2024-10-21T06:26:46Z</dcterms:modified>
</cp:coreProperties>
</file>