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kao.hattori\Downloads\"/>
    </mc:Choice>
  </mc:AlternateContent>
  <xr:revisionPtr revIDLastSave="0" documentId="13_ncr:1_{F64308E7-A23F-4FDD-BFB5-D970CBD10C05}" xr6:coauthVersionLast="47" xr6:coauthVersionMax="47" xr10:uidLastSave="{00000000-0000-0000-0000-000000000000}"/>
  <bookViews>
    <workbookView xWindow="28690" yWindow="-110" windowWidth="29020" windowHeight="15700" activeTab="1" xr2:uid="{85DEAF97-72E7-434C-9135-55BD62C985E7}"/>
  </bookViews>
  <sheets>
    <sheet name="作業用 (myTE集計用)" sheetId="3" r:id="rId1"/>
    <sheet name="myTe(FB件数)" sheetId="1" r:id="rId2"/>
    <sheet name="myTE 累積棒グラフ" sheetId="2" r:id="rId3"/>
  </sheets>
  <externalReferences>
    <externalReference r:id="rId4"/>
  </externalReferences>
  <definedNames>
    <definedName name="_xlnm._FilterDatabase" localSheetId="1" hidden="1">'myTe(FB件数)'!$D$3:$F$48</definedName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3" l="1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J100" i="1"/>
  <c r="H100" i="1"/>
  <c r="G100" i="1"/>
  <c r="F100" i="1"/>
  <c r="E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100" i="1" s="1"/>
  <c r="I6" i="1"/>
  <c r="I5" i="1"/>
  <c r="I4" i="1"/>
</calcChain>
</file>

<file path=xl/sharedStrings.xml><?xml version="1.0" encoding="utf-8"?>
<sst xmlns="http://schemas.openxmlformats.org/spreadsheetml/2006/main" count="334" uniqueCount="124">
  <si>
    <t>FY24/A1052_HPS_JPiT_MyTE勤怠予定実績チェック_作業工程別FB件数</t>
    <rPh sb="35" eb="39">
      <t>サギョウコウテイ</t>
    </rPh>
    <rPh sb="39" eb="40">
      <t>ベツ</t>
    </rPh>
    <rPh sb="42" eb="44">
      <t>ケンスウ</t>
    </rPh>
    <phoneticPr fontId="2"/>
  </si>
  <si>
    <t>対象</t>
    <rPh sb="0" eb="2">
      <t>タイショウ0</t>
    </rPh>
    <phoneticPr fontId="2"/>
  </si>
  <si>
    <t>作業日付</t>
    <rPh sb="0" eb="2">
      <t>サギョウ</t>
    </rPh>
    <rPh sb="2" eb="4">
      <t>ヒヅケ</t>
    </rPh>
    <phoneticPr fontId="2"/>
  </si>
  <si>
    <t>工程</t>
    <rPh sb="0" eb="2">
      <t>コウテイ</t>
    </rPh>
    <phoneticPr fontId="2"/>
  </si>
  <si>
    <t>担当者</t>
    <rPh sb="0" eb="3">
      <t>タントウシャ</t>
    </rPh>
    <phoneticPr fontId="2"/>
  </si>
  <si>
    <t>ケアレスミス</t>
  </si>
  <si>
    <t>解釈</t>
    <rPh sb="0" eb="2">
      <t>カイシャク0</t>
    </rPh>
    <phoneticPr fontId="2"/>
  </si>
  <si>
    <t>マニュアル</t>
    <phoneticPr fontId="2"/>
  </si>
  <si>
    <t>その他</t>
    <rPh sb="2" eb="3">
      <t>タ</t>
    </rPh>
    <phoneticPr fontId="2"/>
  </si>
  <si>
    <t>合計</t>
    <rPh sb="0" eb="2">
      <t>ゴウケイ</t>
    </rPh>
    <phoneticPr fontId="2"/>
  </si>
  <si>
    <t>インシデント</t>
    <phoneticPr fontId="2"/>
  </si>
  <si>
    <t>0072</t>
    <phoneticPr fontId="2"/>
  </si>
  <si>
    <t>①</t>
    <phoneticPr fontId="2"/>
  </si>
  <si>
    <t>木村</t>
    <rPh sb="0" eb="2">
      <t>キムラ</t>
    </rPh>
    <phoneticPr fontId="2"/>
  </si>
  <si>
    <t>0073</t>
  </si>
  <si>
    <t>②</t>
    <phoneticPr fontId="2"/>
  </si>
  <si>
    <t>ダイクス</t>
    <phoneticPr fontId="2"/>
  </si>
  <si>
    <t>0074</t>
  </si>
  <si>
    <t>③</t>
    <phoneticPr fontId="2"/>
  </si>
  <si>
    <t>中野</t>
    <rPh sb="0" eb="2">
      <t>ナカノ</t>
    </rPh>
    <phoneticPr fontId="2"/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</si>
  <si>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</si>
  <si>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</si>
  <si>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</si>
  <si>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</si>
  <si>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</si>
  <si>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</si>
  <si>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</si>
  <si>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</si>
  <si>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</si>
  <si>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</si>
  <si>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</si>
  <si>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</si>
  <si>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</si>
  <si>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</si>
  <si>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</si>
  <si>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※0090はマニュアル改訂</t>
    <rPh sb="11" eb="13">
      <t>カイテイ</t>
    </rPh>
    <phoneticPr fontId="2"/>
  </si>
  <si>
    <t>0091</t>
    <phoneticPr fontId="2"/>
  </si>
  <si>
    <t>渡邊</t>
    <rPh sb="0" eb="2">
      <t>ワタナベ</t>
    </rPh>
    <phoneticPr fontId="2"/>
  </si>
  <si>
    <t>0092</t>
  </si>
  <si>
    <t>西川</t>
    <rPh sb="0" eb="2">
      <t>ニシカワ</t>
    </rPh>
    <phoneticPr fontId="2"/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</si>
  <si>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</si>
  <si>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</si>
  <si>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</si>
  <si>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</si>
  <si>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</si>
  <si>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</si>
  <si>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</si>
  <si>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</si>
  <si>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</si>
  <si>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</si>
  <si>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</si>
  <si>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</si>
  <si>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</si>
  <si>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</si>
  <si>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江藤</t>
    <rPh sb="0" eb="2">
      <t>エトウ</t>
    </rPh>
    <phoneticPr fontId="2"/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</si>
  <si>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</si>
  <si>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</si>
  <si>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</si>
  <si>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</si>
  <si>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</si>
  <si>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</si>
  <si>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</si>
  <si>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</si>
  <si>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</si>
  <si>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</si>
  <si>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ダイクス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</si>
  <si>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</si>
  <si>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</si>
  <si>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</si>
  <si>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</si>
  <si>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</si>
  <si>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</si>
  <si>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</si>
  <si>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</si>
  <si>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  <phoneticPr fontId="2"/>
  </si>
  <si>
    <t>0126</t>
    <phoneticPr fontId="2"/>
  </si>
  <si>
    <t>0127</t>
    <phoneticPr fontId="2"/>
  </si>
  <si>
    <t>0128</t>
    <phoneticPr fontId="2"/>
  </si>
  <si>
    <t>0129</t>
    <phoneticPr fontId="2"/>
  </si>
  <si>
    <t>0130</t>
    <phoneticPr fontId="2"/>
  </si>
  <si>
    <t>谷口</t>
    <rPh sb="0" eb="2">
      <t>タニグチ</t>
    </rPh>
    <phoneticPr fontId="2"/>
  </si>
  <si>
    <t>0131</t>
    <phoneticPr fontId="2"/>
  </si>
  <si>
    <t>0132</t>
    <phoneticPr fontId="2"/>
  </si>
  <si>
    <t>0133</t>
    <phoneticPr fontId="2"/>
  </si>
  <si>
    <t>0134</t>
    <phoneticPr fontId="2"/>
  </si>
  <si>
    <t>0135</t>
    <phoneticPr fontId="2"/>
  </si>
  <si>
    <t>0136</t>
    <phoneticPr fontId="2"/>
  </si>
  <si>
    <t>0137</t>
    <phoneticPr fontId="2"/>
  </si>
  <si>
    <t>0138</t>
    <phoneticPr fontId="2"/>
  </si>
  <si>
    <t>0139</t>
    <phoneticPr fontId="2"/>
  </si>
  <si>
    <t>0140</t>
    <phoneticPr fontId="2"/>
  </si>
  <si>
    <t>0141</t>
    <phoneticPr fontId="2"/>
  </si>
  <si>
    <t>0142</t>
    <phoneticPr fontId="2"/>
  </si>
  <si>
    <t>0143</t>
    <phoneticPr fontId="2"/>
  </si>
  <si>
    <t>0144</t>
    <phoneticPr fontId="2"/>
  </si>
  <si>
    <t>0145</t>
    <phoneticPr fontId="2"/>
  </si>
  <si>
    <t>0146</t>
    <phoneticPr fontId="2"/>
  </si>
  <si>
    <t>0147</t>
    <phoneticPr fontId="2"/>
  </si>
  <si>
    <t>0148</t>
    <phoneticPr fontId="2"/>
  </si>
  <si>
    <t>0149</t>
    <phoneticPr fontId="2"/>
  </si>
  <si>
    <t>0150</t>
    <phoneticPr fontId="2"/>
  </si>
  <si>
    <t>集計</t>
  </si>
  <si>
    <t>FB件数理由別積み上げ棒グラフ</t>
    <rPh sb="2" eb="4">
      <t>ケンスウ</t>
    </rPh>
    <rPh sb="4" eb="7">
      <t>リユウベツ</t>
    </rPh>
    <rPh sb="7" eb="8">
      <t>ツ</t>
    </rPh>
    <rPh sb="9" eb="10">
      <t>ア</t>
    </rPh>
    <rPh sb="11" eb="12">
      <t>ボウ</t>
    </rPh>
    <phoneticPr fontId="2"/>
  </si>
  <si>
    <t>1.MyTE作業FB指摘ケアレスミス、件数累積グラフ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2"/>
  </si>
  <si>
    <t>担当/作業年月</t>
    <rPh sb="0" eb="2">
      <t>タントウ</t>
    </rPh>
    <rPh sb="3" eb="5">
      <t>サギョウ</t>
    </rPh>
    <rPh sb="5" eb="7">
      <t>ネンゲツ</t>
    </rPh>
    <phoneticPr fontId="2"/>
  </si>
  <si>
    <t>渡邊</t>
  </si>
  <si>
    <t>野沢</t>
    <rPh sb="0" eb="2">
      <t>ノザワ</t>
    </rPh>
    <phoneticPr fontId="2"/>
  </si>
  <si>
    <t>稲葉</t>
    <rPh sb="0" eb="2">
      <t>イナバ</t>
    </rPh>
    <phoneticPr fontId="2"/>
  </si>
  <si>
    <t>2.MyTE作業FB指摘解釈・理解があいまい件数、累積積み上げグラフ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2"/>
  </si>
  <si>
    <t>3.MyTE作業FB指摘マニュアル不備件数、累積積み上げグラフ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2"/>
  </si>
  <si>
    <t>4.MyTE作業FB指摘その他件数、累積積み上げグラフ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2"/>
  </si>
  <si>
    <t>5.MyTE作業インシデント件数、累積積み上げグラフ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2"/>
  </si>
  <si>
    <t>A1052.myTE作業工程</t>
    <rPh sb="10" eb="14">
      <t>サギョウコウテイ</t>
    </rPh>
    <phoneticPr fontId="2"/>
  </si>
  <si>
    <t>年月を下に入力してください</t>
    <rPh sb="0" eb="2">
      <t>ネンツキ</t>
    </rPh>
    <rPh sb="3" eb="4">
      <t>シタ</t>
    </rPh>
    <rPh sb="5" eb="7">
      <t>ニュウリョク</t>
    </rPh>
    <phoneticPr fontId="2"/>
  </si>
  <si>
    <t>作業年月ピリオド</t>
    <rPh sb="0" eb="2">
      <t>サギョウ</t>
    </rPh>
    <rPh sb="2" eb="4">
      <t>ネンツキ</t>
    </rPh>
    <phoneticPr fontId="2"/>
  </si>
  <si>
    <t>項目/名前</t>
    <rPh sb="0" eb="2">
      <t>コウモク</t>
    </rPh>
    <rPh sb="3" eb="5">
      <t>ナマエ</t>
    </rPh>
    <phoneticPr fontId="2"/>
  </si>
  <si>
    <t>ケアレスミスFB数</t>
    <rPh sb="8" eb="9">
      <t>スウ</t>
    </rPh>
    <phoneticPr fontId="2"/>
  </si>
  <si>
    <t>解釈FB数</t>
    <rPh sb="0" eb="2">
      <t>カイシャク</t>
    </rPh>
    <rPh sb="4" eb="5">
      <t>スウ</t>
    </rPh>
    <phoneticPr fontId="2"/>
  </si>
  <si>
    <t>マニュアルFB数</t>
    <rPh sb="7" eb="8">
      <t>スウ</t>
    </rPh>
    <phoneticPr fontId="2"/>
  </si>
  <si>
    <t>その他FB数</t>
    <rPh sb="2" eb="3">
      <t>タ</t>
    </rPh>
    <phoneticPr fontId="2"/>
  </si>
  <si>
    <t>インシデントFB数</t>
    <rPh sb="8" eb="9">
      <t>スウ</t>
    </rPh>
    <phoneticPr fontId="2"/>
  </si>
  <si>
    <t>指摘項目/名前</t>
    <rPh sb="0" eb="4">
      <t>シテキコウモク</t>
    </rPh>
    <rPh sb="5" eb="7">
      <t>ナマエ</t>
    </rPh>
    <phoneticPr fontId="2"/>
  </si>
  <si>
    <t>ケアレスミス</t>
    <phoneticPr fontId="2"/>
  </si>
  <si>
    <t>解釈</t>
    <rPh sb="0" eb="2">
      <t>カイシャク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</si>
</sst>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&quot;月&quot;d&quot;日&quot;;@"/>
  </numFmts>
  <fonts count="8" x14ac:knownFonts="1">
    <font>
      <sz val="11"/>
      <color theme="1"/>
      <name val="游ゴシック"/>
      <family val="2"/>
      <charset val="128"/>
      <scheme val="minor"/>
    </font>
    <font>
      <sz val="12"/>
      <color rgb="FF000000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3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" fillId="0" borderId="5" xfId="0" applyFont="1" applyBorder="1" applyAlignment="1">
      <alignment horizontal="right" vertical="center"/>
    </xf>
    <xf numFmtId="0" fontId="4" fillId="0" borderId="6" xfId="0" applyFont="1" applyBorder="1" applyAlignment="1">
      <alignment horizontal="right"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56" fontId="0" fillId="0" borderId="4" xfId="0" applyNumberFormat="1" applyBorder="1" applyAlignment="1">
      <alignment horizontal="center" vertical="center"/>
    </xf>
    <xf numFmtId="56" fontId="0" fillId="0" borderId="4" xfId="0" quotePrefix="1" applyNumberFormat="1" applyBorder="1" applyAlignment="1">
      <alignment horizontal="center" vertical="center"/>
    </xf>
    <xf numFmtId="56" fontId="0" fillId="0" borderId="9" xfId="0" quotePrefix="1" applyNumberFormat="1" applyBorder="1" applyAlignment="1">
      <alignment horizontal="center" vertical="center"/>
    </xf>
    <xf numFmtId="56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55" fontId="0" fillId="0" borderId="0" xfId="0" applyNumberFormat="1">
      <alignment vertical="center"/>
    </xf>
    <xf numFmtId="55" fontId="0" fillId="0" borderId="5" xfId="0" applyNumberFormat="1" applyBorder="1">
      <alignment vertical="center"/>
    </xf>
    <xf numFmtId="0" fontId="7" fillId="0" borderId="0" xfId="0" applyFont="1">
      <alignment vertical="center"/>
    </xf>
    <xf numFmtId="56" fontId="0" fillId="0" borderId="5" xfId="0" applyNumberFormat="1" applyBorder="1" applyAlignment="1">
      <alignment horizontal="center" vertical="center"/>
    </xf>
    <xf numFmtId="55" fontId="0" fillId="2" borderId="0" xfId="0" applyNumberFormat="1" applyFill="1">
      <alignment vertical="center"/>
    </xf>
    <xf numFmtId="0" fontId="0" fillId="3" borderId="5" xfId="0" applyFill="1" applyBorder="1">
      <alignment vertical="center"/>
    </xf>
    <xf numFmtId="0" fontId="0" fillId="3" borderId="5" xfId="0" applyFill="1" applyBorder="1" applyAlignment="1">
      <alignment horizontal="center" vertical="center"/>
    </xf>
    <xf numFmtId="0" fontId="0" fillId="4" borderId="5" xfId="0" applyFill="1" applyBorder="1">
      <alignment vertical="center"/>
    </xf>
    <xf numFmtId="0" fontId="4" fillId="4" borderId="5" xfId="0" applyFont="1" applyFill="1" applyBorder="1" applyAlignment="1">
      <alignment horizontal="right" vertical="center"/>
    </xf>
    <xf numFmtId="0" fontId="3" fillId="4" borderId="5" xfId="0" applyFont="1" applyFill="1" applyBorder="1" applyAlignment="1">
      <alignment horizontal="right" vertical="center"/>
    </xf>
  </cellXfs>
  <cellStyles count="1">
    <cellStyle name="標準" xfId="0" builtinId="0"/>
  </cellStyles>
  <dxfs count="25"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累積棒グラフ'!$C$28:$R$28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3E-4FBE-B254-BE528DBAC9CE}"/>
            </c:ext>
          </c:extLst>
        </c:ser>
        <c:ser>
          <c:idx val="1"/>
          <c:order val="1"/>
          <c:tx>
            <c:strRef>
              <c:f>'myTE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累積棒グラフ'!$C$29:$R$29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3E-4FBE-B254-BE528DBAC9CE}"/>
            </c:ext>
          </c:extLst>
        </c:ser>
        <c:ser>
          <c:idx val="2"/>
          <c:order val="2"/>
          <c:tx>
            <c:strRef>
              <c:f>'myTE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累積棒グラフ'!$C$30:$R$30</c:f>
              <c:numCache>
                <c:formatCode>General</c:formatCode>
                <c:ptCount val="16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3E-4FBE-B254-BE528DBAC9CE}"/>
            </c:ext>
          </c:extLst>
        </c:ser>
        <c:ser>
          <c:idx val="3"/>
          <c:order val="3"/>
          <c:tx>
            <c:strRef>
              <c:f>'myTE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累積棒グラフ'!$C$31:$R$31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3E-4FBE-B254-BE528DBAC9CE}"/>
            </c:ext>
          </c:extLst>
        </c:ser>
        <c:ser>
          <c:idx val="4"/>
          <c:order val="4"/>
          <c:tx>
            <c:strRef>
              <c:f>'myTE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累積棒グラフ'!$C$32:$R$32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3E-4FBE-B254-BE528DBAC9CE}"/>
            </c:ext>
          </c:extLst>
        </c:ser>
        <c:ser>
          <c:idx val="5"/>
          <c:order val="5"/>
          <c:tx>
            <c:strRef>
              <c:f>'myTE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累積棒グラフ'!$C$33:$R$33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3E-4FBE-B254-BE528DBAC9CE}"/>
            </c:ext>
          </c:extLst>
        </c:ser>
        <c:ser>
          <c:idx val="6"/>
          <c:order val="6"/>
          <c:tx>
            <c:strRef>
              <c:f>'myTE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累積棒グラフ'!$C$34:$R$34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3E-4FBE-B254-BE528DBAC9CE}"/>
            </c:ext>
          </c:extLst>
        </c:ser>
        <c:ser>
          <c:idx val="7"/>
          <c:order val="7"/>
          <c:tx>
            <c:strRef>
              <c:f>'myTE 累積棒グラフ'!$B$35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累積棒グラフ'!$C$35:$R$35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3E-4FBE-B254-BE528DBAC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累積棒グラフ'!$C$61:$R$61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F1-4C68-B8F4-411EFD1FE346}"/>
            </c:ext>
          </c:extLst>
        </c:ser>
        <c:ser>
          <c:idx val="1"/>
          <c:order val="1"/>
          <c:tx>
            <c:strRef>
              <c:f>'myTE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累積棒グラフ'!$C$62:$R$62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F1-4C68-B8F4-411EFD1FE346}"/>
            </c:ext>
          </c:extLst>
        </c:ser>
        <c:ser>
          <c:idx val="2"/>
          <c:order val="2"/>
          <c:tx>
            <c:strRef>
              <c:f>'myTE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累積棒グラフ'!$C$63:$R$63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F1-4C68-B8F4-411EFD1FE346}"/>
            </c:ext>
          </c:extLst>
        </c:ser>
        <c:ser>
          <c:idx val="3"/>
          <c:order val="3"/>
          <c:tx>
            <c:strRef>
              <c:f>'myTE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累積棒グラフ'!$C$64:$R$64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F1-4C68-B8F4-411EFD1FE346}"/>
            </c:ext>
          </c:extLst>
        </c:ser>
        <c:ser>
          <c:idx val="4"/>
          <c:order val="4"/>
          <c:tx>
            <c:strRef>
              <c:f>'myTE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累積棒グラフ'!$C$65:$R$65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F1-4C68-B8F4-411EFD1FE346}"/>
            </c:ext>
          </c:extLst>
        </c:ser>
        <c:ser>
          <c:idx val="5"/>
          <c:order val="5"/>
          <c:tx>
            <c:strRef>
              <c:f>'myTE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累積棒グラフ'!$C$66:$R$66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F1-4C68-B8F4-411EFD1FE346}"/>
            </c:ext>
          </c:extLst>
        </c:ser>
        <c:ser>
          <c:idx val="6"/>
          <c:order val="6"/>
          <c:tx>
            <c:strRef>
              <c:f>'myTE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累積棒グラフ'!$C$67:$R$67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F1-4C68-B8F4-411EFD1FE346}"/>
            </c:ext>
          </c:extLst>
        </c:ser>
        <c:ser>
          <c:idx val="7"/>
          <c:order val="7"/>
          <c:tx>
            <c:strRef>
              <c:f>'myTE 累積棒グラフ'!$B$68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累積棒グラフ'!$C$68:$R$68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F1-4C68-B8F4-411EFD1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C2-4EF7-BD8A-D35D221E40F2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C2-4EF7-BD8A-D35D221E40F2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C2-4EF7-BD8A-D35D221E40F2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C2-4EF7-BD8A-D35D221E40F2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C2-4EF7-BD8A-D35D221E40F2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C2-4EF7-BD8A-D35D221E40F2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0C2-4EF7-BD8A-D35D221E40F2}"/>
            </c:ext>
          </c:extLst>
        </c:ser>
        <c:ser>
          <c:idx val="7"/>
          <c:order val="7"/>
          <c:tx>
            <c:strRef>
              <c:f>'myTE 累積棒グラフ'!$B$102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累積棒グラフ'!$C$102:$R$102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0C2-4EF7-BD8A-D35D221E4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累積棒グラフ'!$C$129:$R$129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B-47B8-9F2C-68DC6C321A18}"/>
            </c:ext>
          </c:extLst>
        </c:ser>
        <c:ser>
          <c:idx val="1"/>
          <c:order val="1"/>
          <c:tx>
            <c:strRef>
              <c:f>'myTE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累積棒グラフ'!$C$130:$R$130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EB-47B8-9F2C-68DC6C321A18}"/>
            </c:ext>
          </c:extLst>
        </c:ser>
        <c:ser>
          <c:idx val="2"/>
          <c:order val="2"/>
          <c:tx>
            <c:strRef>
              <c:f>'myTE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EB-47B8-9F2C-68DC6C321A18}"/>
            </c:ext>
          </c:extLst>
        </c:ser>
        <c:ser>
          <c:idx val="3"/>
          <c:order val="3"/>
          <c:tx>
            <c:strRef>
              <c:f>'myTE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累積棒グラフ'!$C$132:$R$132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EB-47B8-9F2C-68DC6C321A18}"/>
            </c:ext>
          </c:extLst>
        </c:ser>
        <c:ser>
          <c:idx val="4"/>
          <c:order val="4"/>
          <c:tx>
            <c:strRef>
              <c:f>'myTE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累積棒グラフ'!$C$133:$R$133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EB-47B8-9F2C-68DC6C321A18}"/>
            </c:ext>
          </c:extLst>
        </c:ser>
        <c:ser>
          <c:idx val="5"/>
          <c:order val="5"/>
          <c:tx>
            <c:strRef>
              <c:f>'myTE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累積棒グラフ'!$C$134:$R$134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EB-47B8-9F2C-68DC6C321A18}"/>
            </c:ext>
          </c:extLst>
        </c:ser>
        <c:ser>
          <c:idx val="6"/>
          <c:order val="6"/>
          <c:tx>
            <c:strRef>
              <c:f>'myTE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累積棒グラフ'!$C$135:$R$135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EB-47B8-9F2C-68DC6C321A18}"/>
            </c:ext>
          </c:extLst>
        </c:ser>
        <c:ser>
          <c:idx val="7"/>
          <c:order val="7"/>
          <c:tx>
            <c:strRef>
              <c:f>'myTE 累積棒グラフ'!$B$136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累積棒グラフ'!$C$136:$R$136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EB-47B8-9F2C-68DC6C321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累積棒グラフ'!$C$163:$R$163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12-4469-81E2-BB7938F6370B}"/>
            </c:ext>
          </c:extLst>
        </c:ser>
        <c:ser>
          <c:idx val="1"/>
          <c:order val="1"/>
          <c:tx>
            <c:strRef>
              <c:f>'myTE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累積棒グラフ'!$C$164:$R$164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12-4469-81E2-BB7938F6370B}"/>
            </c:ext>
          </c:extLst>
        </c:ser>
        <c:ser>
          <c:idx val="2"/>
          <c:order val="2"/>
          <c:tx>
            <c:strRef>
              <c:f>'myTE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累積棒グラフ'!$C$165:$R$165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12-4469-81E2-BB7938F6370B}"/>
            </c:ext>
          </c:extLst>
        </c:ser>
        <c:ser>
          <c:idx val="3"/>
          <c:order val="3"/>
          <c:tx>
            <c:strRef>
              <c:f>'myTE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累積棒グラフ'!$C$166:$R$166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12-4469-81E2-BB7938F6370B}"/>
            </c:ext>
          </c:extLst>
        </c:ser>
        <c:ser>
          <c:idx val="4"/>
          <c:order val="4"/>
          <c:tx>
            <c:strRef>
              <c:f>'myTE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累積棒グラフ'!$C$167:$R$167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12-4469-81E2-BB7938F6370B}"/>
            </c:ext>
          </c:extLst>
        </c:ser>
        <c:ser>
          <c:idx val="5"/>
          <c:order val="5"/>
          <c:tx>
            <c:strRef>
              <c:f>'myTE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累積棒グラフ'!$C$168:$R$168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12-4469-81E2-BB7938F6370B}"/>
            </c:ext>
          </c:extLst>
        </c:ser>
        <c:ser>
          <c:idx val="6"/>
          <c:order val="6"/>
          <c:tx>
            <c:strRef>
              <c:f>'myTE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累積棒グラフ'!$C$169:$R$169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12-4469-81E2-BB7938F6370B}"/>
            </c:ext>
          </c:extLst>
        </c:ser>
        <c:ser>
          <c:idx val="7"/>
          <c:order val="7"/>
          <c:tx>
            <c:strRef>
              <c:f>'myTE 累積棒グラフ'!$B$170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累積棒グラフ'!$C$170:$R$170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12-4469-81E2-BB7938F637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10</xdr:row>
      <xdr:rowOff>63500</xdr:rowOff>
    </xdr:from>
    <xdr:to>
      <xdr:col>11</xdr:col>
      <xdr:colOff>50800</xdr:colOff>
      <xdr:row>13</xdr:row>
      <xdr:rowOff>82550</xdr:rowOff>
    </xdr:to>
    <xdr:sp macro="[1]!Module1.MyTe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9675EB0-28EA-4CFA-9AA0-101D72385ED6}"/>
            </a:ext>
          </a:extLst>
        </xdr:cNvPr>
        <xdr:cNvSpPr/>
      </xdr:nvSpPr>
      <xdr:spPr>
        <a:xfrm>
          <a:off x="9969500" y="2349500"/>
          <a:ext cx="15176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10</xdr:col>
      <xdr:colOff>25400</xdr:colOff>
      <xdr:row>6</xdr:row>
      <xdr:rowOff>6350</xdr:rowOff>
    </xdr:from>
    <xdr:to>
      <xdr:col>11</xdr:col>
      <xdr:colOff>6350</xdr:colOff>
      <xdr:row>8</xdr:row>
      <xdr:rowOff>215900</xdr:rowOff>
    </xdr:to>
    <xdr:sp macro="[1]!myTE_data_cl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684A3A-6556-4DBC-A683-E72A77BC3A72}"/>
            </a:ext>
          </a:extLst>
        </xdr:cNvPr>
        <xdr:cNvSpPr/>
      </xdr:nvSpPr>
      <xdr:spPr>
        <a:xfrm>
          <a:off x="9975850" y="1377950"/>
          <a:ext cx="1466850" cy="666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97967CD-DA5C-4F02-9D88-A12FC8B5F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FA8D56D-8A88-4089-B770-ADC5A4C17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3D7F475-0B83-4ACA-B6EA-EE7C9C22AE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930EBEFE-1753-49A7-8900-7587D0E073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1B539748-B000-4D65-A9C3-35183AD6F2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Relationship Id="rId1" Type="http://schemas.openxmlformats.org/officeDocument/2006/relationships/externalLinkPath" Target="https://ts.accenture.com/sites/Namamugi_Tachikawa_Satellite/Shared%20Documents/02_team/011010_&#29983;&#40614;X/GL/&#12469;&#12509;&#12540;&#12488;&#12464;&#12523;&#12540;&#12503;/&#20214;&#25968;&#38598;&#32004;/FB&#38598;&#35336;/FB&#38598;&#35336;&#34920;(4&#26376;&#20197;&#38477;)_ver2.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yTe(FB件数)"/>
      <sheetName val="myTE 累積棒グラフ"/>
      <sheetName val="I&amp;D(FB件数)"/>
      <sheetName val="I&amp;D 累積棒グラフ"/>
      <sheetName val="人事異動・組織改編(FB件数)"/>
      <sheetName val="人事異動累積棒グラフ"/>
      <sheetName val="サーバールーム(FB件数)"/>
      <sheetName val="サーバールーム累積件数グラフ"/>
      <sheetName val="中計決算50社(FB件数)"/>
      <sheetName val="中計決算50社累積件数グラフ"/>
      <sheetName val="集計方法"/>
      <sheetName val="作業用 (myTE集計用)"/>
      <sheetName val="作業用 (I&amp;D集計用)"/>
      <sheetName val="作業用 (人事異動集計用)"/>
      <sheetName val="作業用 (中計決算50社)"/>
      <sheetName val="ここから先は今後使用予定→"/>
      <sheetName val="Jpit請求書(FB件数)"/>
      <sheetName val="Jpit請求書累積件数グラフ"/>
      <sheetName val="Update History"/>
      <sheetName val="→ここから先は使用しない"/>
      <sheetName val="myTE 累積棒グラフ(2023年9月～2024年3月)"/>
      <sheetName val="I&amp;D 累積棒グラフ(2023年9月～2024年3月)"/>
      <sheetName val="人事異動・組織改編累積件数グラフ(2024年1月～3月)"/>
      <sheetName val="服部案 (myTE202401-202403)"/>
      <sheetName val="服部案 (myTE02309-202312)"/>
      <sheetName val="I&amp;D 202401-202403"/>
      <sheetName val="I&amp;D202309-202312 "/>
      <sheetName val="人事異動 202404-"/>
      <sheetName val="人事異動 202401-202402"/>
      <sheetName val="人事異動FB率 202401-202402"/>
      <sheetName val="大竹案 (2)"/>
      <sheetName val="服部案"/>
      <sheetName val="服部案(FB推移グラフ)"/>
      <sheetName val="人事異動・組織改編累FB率グラフ"/>
      <sheetName val="myTE　グラフテスト"/>
      <sheetName val="メンバー"/>
    </sheetNames>
    <definedNames>
      <definedName name="Module1.MyTe_Insert_data"/>
      <definedName name="myTE_data_clear"/>
    </definedNames>
    <sheetDataSet>
      <sheetData sheetId="0"/>
      <sheetData sheetId="1">
        <row r="27">
          <cell r="C27">
            <v>45383</v>
          </cell>
          <cell r="D27">
            <v>45413</v>
          </cell>
          <cell r="E27">
            <v>45444</v>
          </cell>
          <cell r="F27">
            <v>45474</v>
          </cell>
          <cell r="G27">
            <v>45505</v>
          </cell>
          <cell r="H27">
            <v>45536</v>
          </cell>
          <cell r="I27">
            <v>45566</v>
          </cell>
          <cell r="J27">
            <v>45597</v>
          </cell>
          <cell r="K27">
            <v>45627</v>
          </cell>
          <cell r="L27">
            <v>45658</v>
          </cell>
          <cell r="M27">
            <v>45689</v>
          </cell>
          <cell r="N27">
            <v>45717</v>
          </cell>
          <cell r="O27">
            <v>45748</v>
          </cell>
          <cell r="P27">
            <v>45778</v>
          </cell>
          <cell r="Q27">
            <v>45809</v>
          </cell>
          <cell r="R27">
            <v>45839</v>
          </cell>
        </row>
        <row r="28">
          <cell r="B28" t="str">
            <v>ダイクス</v>
          </cell>
          <cell r="C28">
            <v>0</v>
          </cell>
          <cell r="D28">
            <v>1</v>
          </cell>
          <cell r="E28">
            <v>3</v>
          </cell>
          <cell r="F28">
            <v>0</v>
          </cell>
          <cell r="G28">
            <v>4</v>
          </cell>
          <cell r="H28">
            <v>0</v>
          </cell>
        </row>
        <row r="29">
          <cell r="B29" t="str">
            <v>中野</v>
          </cell>
          <cell r="C29">
            <v>0</v>
          </cell>
          <cell r="D29">
            <v>2</v>
          </cell>
          <cell r="E29">
            <v>0</v>
          </cell>
          <cell r="F29">
            <v>3</v>
          </cell>
          <cell r="G29">
            <v>0</v>
          </cell>
          <cell r="H29">
            <v>2</v>
          </cell>
        </row>
        <row r="30">
          <cell r="B30" t="str">
            <v>渡邊</v>
          </cell>
          <cell r="C30">
            <v>9</v>
          </cell>
          <cell r="D30">
            <v>3</v>
          </cell>
          <cell r="E30">
            <v>0</v>
          </cell>
          <cell r="F30">
            <v>0</v>
          </cell>
          <cell r="G30">
            <v>2</v>
          </cell>
          <cell r="H30">
            <v>7</v>
          </cell>
        </row>
        <row r="31">
          <cell r="B31" t="str">
            <v>江藤</v>
          </cell>
          <cell r="C31">
            <v>1</v>
          </cell>
          <cell r="D31">
            <v>0</v>
          </cell>
          <cell r="E31">
            <v>1</v>
          </cell>
          <cell r="F31">
            <v>0</v>
          </cell>
          <cell r="G31">
            <v>0</v>
          </cell>
          <cell r="H31">
            <v>0</v>
          </cell>
        </row>
        <row r="32">
          <cell r="B32" t="str">
            <v>木村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</row>
        <row r="33">
          <cell r="B33" t="str">
            <v>野沢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</row>
        <row r="34">
          <cell r="B34" t="str">
            <v>谷口</v>
          </cell>
          <cell r="C34">
            <v>0</v>
          </cell>
          <cell r="D34">
            <v>0</v>
          </cell>
          <cell r="E34">
            <v>1</v>
          </cell>
          <cell r="F34">
            <v>8</v>
          </cell>
          <cell r="G34">
            <v>0</v>
          </cell>
          <cell r="H34">
            <v>2</v>
          </cell>
        </row>
        <row r="35">
          <cell r="B35" t="str">
            <v>稲葉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</row>
        <row r="60">
          <cell r="C60">
            <v>45383</v>
          </cell>
          <cell r="D60">
            <v>45413</v>
          </cell>
          <cell r="E60">
            <v>45444</v>
          </cell>
          <cell r="F60">
            <v>45474</v>
          </cell>
          <cell r="G60">
            <v>45505</v>
          </cell>
          <cell r="H60">
            <v>45536</v>
          </cell>
          <cell r="I60">
            <v>45566</v>
          </cell>
          <cell r="J60">
            <v>45597</v>
          </cell>
          <cell r="K60">
            <v>45627</v>
          </cell>
          <cell r="L60">
            <v>45658</v>
          </cell>
          <cell r="M60">
            <v>45689</v>
          </cell>
          <cell r="N60">
            <v>45717</v>
          </cell>
          <cell r="O60">
            <v>45748</v>
          </cell>
          <cell r="P60">
            <v>45778</v>
          </cell>
          <cell r="Q60">
            <v>45809</v>
          </cell>
          <cell r="R60">
            <v>45839</v>
          </cell>
        </row>
        <row r="61">
          <cell r="B61" t="str">
            <v>ダイクス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1</v>
          </cell>
          <cell r="H61">
            <v>0</v>
          </cell>
        </row>
        <row r="62">
          <cell r="B62" t="str">
            <v>中野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0</v>
          </cell>
          <cell r="H62">
            <v>0</v>
          </cell>
        </row>
        <row r="63">
          <cell r="B63" t="str">
            <v>渡邊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</row>
        <row r="64">
          <cell r="B64" t="str">
            <v>江藤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</row>
        <row r="65">
          <cell r="B65" t="str">
            <v>木村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</row>
        <row r="66">
          <cell r="B66" t="str">
            <v>野沢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</row>
        <row r="67">
          <cell r="B67" t="str">
            <v>谷口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</row>
        <row r="68">
          <cell r="B68" t="str">
            <v>稲葉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</row>
        <row r="94">
          <cell r="C94">
            <v>45383</v>
          </cell>
          <cell r="D94">
            <v>45413</v>
          </cell>
          <cell r="E94">
            <v>45444</v>
          </cell>
          <cell r="F94">
            <v>45474</v>
          </cell>
          <cell r="G94">
            <v>45505</v>
          </cell>
          <cell r="H94">
            <v>45536</v>
          </cell>
          <cell r="I94">
            <v>45566</v>
          </cell>
          <cell r="J94">
            <v>45597</v>
          </cell>
          <cell r="K94">
            <v>45627</v>
          </cell>
          <cell r="L94">
            <v>45658</v>
          </cell>
          <cell r="M94">
            <v>45689</v>
          </cell>
          <cell r="N94">
            <v>45717</v>
          </cell>
          <cell r="O94">
            <v>45748</v>
          </cell>
          <cell r="P94">
            <v>45778</v>
          </cell>
          <cell r="Q94">
            <v>45809</v>
          </cell>
          <cell r="R94">
            <v>45839</v>
          </cell>
        </row>
        <row r="95">
          <cell r="B95" t="str">
            <v>ダイクス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</row>
        <row r="96">
          <cell r="B96" t="str">
            <v>中野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</row>
        <row r="97">
          <cell r="B97" t="str">
            <v>渡邊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2</v>
          </cell>
        </row>
        <row r="98">
          <cell r="B98" t="str">
            <v>江藤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</row>
        <row r="99">
          <cell r="B99" t="str">
            <v>木村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</row>
        <row r="100">
          <cell r="B100" t="str">
            <v>野沢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</row>
        <row r="101">
          <cell r="B101" t="str">
            <v>谷口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  <cell r="G101">
            <v>0</v>
          </cell>
          <cell r="H101">
            <v>0</v>
          </cell>
        </row>
        <row r="102">
          <cell r="B102" t="str">
            <v>稲葉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</row>
        <row r="128">
          <cell r="C128">
            <v>45383</v>
          </cell>
          <cell r="D128">
            <v>45413</v>
          </cell>
          <cell r="E128">
            <v>45444</v>
          </cell>
          <cell r="F128">
            <v>45474</v>
          </cell>
          <cell r="G128">
            <v>45505</v>
          </cell>
          <cell r="H128">
            <v>45536</v>
          </cell>
          <cell r="I128">
            <v>45566</v>
          </cell>
          <cell r="J128">
            <v>45597</v>
          </cell>
          <cell r="K128">
            <v>45627</v>
          </cell>
          <cell r="L128">
            <v>45658</v>
          </cell>
          <cell r="M128">
            <v>45689</v>
          </cell>
          <cell r="N128">
            <v>45717</v>
          </cell>
          <cell r="O128">
            <v>45748</v>
          </cell>
          <cell r="P128">
            <v>45778</v>
          </cell>
          <cell r="Q128">
            <v>45809</v>
          </cell>
          <cell r="R128">
            <v>45839</v>
          </cell>
        </row>
        <row r="129">
          <cell r="B129" t="str">
            <v>ダイクス</v>
          </cell>
          <cell r="C129">
            <v>0</v>
          </cell>
          <cell r="D129">
            <v>1</v>
          </cell>
          <cell r="E129">
            <v>1</v>
          </cell>
          <cell r="F129">
            <v>0</v>
          </cell>
          <cell r="G129">
            <v>0</v>
          </cell>
          <cell r="H129">
            <v>0</v>
          </cell>
        </row>
        <row r="130">
          <cell r="B130" t="str">
            <v>中野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</row>
        <row r="131">
          <cell r="B131" t="str">
            <v>渡邊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</row>
        <row r="132">
          <cell r="B132" t="str">
            <v>江藤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</row>
        <row r="133">
          <cell r="B133" t="str">
            <v>木村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</row>
        <row r="134">
          <cell r="B134" t="str">
            <v>野沢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</row>
        <row r="135">
          <cell r="B135" t="str">
            <v>谷口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</row>
        <row r="136">
          <cell r="B136" t="str">
            <v>稲葉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</row>
        <row r="162">
          <cell r="C162">
            <v>45383</v>
          </cell>
          <cell r="D162">
            <v>45413</v>
          </cell>
          <cell r="E162">
            <v>45444</v>
          </cell>
          <cell r="F162">
            <v>45474</v>
          </cell>
          <cell r="G162">
            <v>45505</v>
          </cell>
          <cell r="H162">
            <v>45536</v>
          </cell>
          <cell r="I162">
            <v>45566</v>
          </cell>
          <cell r="J162">
            <v>45597</v>
          </cell>
          <cell r="K162">
            <v>45627</v>
          </cell>
          <cell r="L162">
            <v>45658</v>
          </cell>
          <cell r="M162">
            <v>45689</v>
          </cell>
          <cell r="N162">
            <v>45717</v>
          </cell>
          <cell r="O162">
            <v>45748</v>
          </cell>
          <cell r="P162">
            <v>45778</v>
          </cell>
          <cell r="Q162">
            <v>45809</v>
          </cell>
          <cell r="R162">
            <v>45839</v>
          </cell>
        </row>
        <row r="163">
          <cell r="B163" t="str">
            <v>ダイクス</v>
          </cell>
          <cell r="C163">
            <v>0</v>
          </cell>
          <cell r="D163">
            <v>0</v>
          </cell>
          <cell r="E163">
            <v>2</v>
          </cell>
          <cell r="F163">
            <v>0</v>
          </cell>
          <cell r="G163">
            <v>4</v>
          </cell>
          <cell r="H163">
            <v>0</v>
          </cell>
        </row>
        <row r="164">
          <cell r="B164" t="str">
            <v>中野</v>
          </cell>
          <cell r="C164">
            <v>0</v>
          </cell>
          <cell r="D164">
            <v>0</v>
          </cell>
          <cell r="E164">
            <v>1</v>
          </cell>
          <cell r="F164">
            <v>0</v>
          </cell>
          <cell r="G164">
            <v>0</v>
          </cell>
          <cell r="H164">
            <v>0</v>
          </cell>
        </row>
        <row r="165">
          <cell r="B165" t="str">
            <v>渡邊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</row>
        <row r="166">
          <cell r="B166" t="str">
            <v>江藤</v>
          </cell>
          <cell r="C166">
            <v>0</v>
          </cell>
          <cell r="D166">
            <v>0</v>
          </cell>
          <cell r="E166">
            <v>1</v>
          </cell>
          <cell r="F166">
            <v>0</v>
          </cell>
          <cell r="G166">
            <v>0</v>
          </cell>
          <cell r="H166">
            <v>0</v>
          </cell>
        </row>
        <row r="167">
          <cell r="B167" t="str">
            <v>木村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</row>
        <row r="168">
          <cell r="B168" t="str">
            <v>野沢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</row>
        <row r="169">
          <cell r="B169" t="str">
            <v>谷口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</row>
        <row r="170">
          <cell r="B170" t="str">
            <v>稲葉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68C6B-00B6-46D7-B484-51993656DA68}" name="テーブル17" displayName="テーブル17" ref="A3:J100" totalsRowCount="1" headerRowDxfId="24" dataDxfId="23" headerRowBorderDxfId="21" tableBorderDxfId="22" totalsRowBorderDxfId="20">
  <autoFilter ref="A3:J99" xr:uid="{E8C91F76-EE79-483D-913C-9597C44A6F9D}"/>
  <tableColumns count="10">
    <tableColumn id="1" xr3:uid="{4459619E-C33D-4164-998A-0A6FE248F524}" name="対象" totalsRowLabel="集計" dataDxfId="18" totalsRowDxfId="19"/>
    <tableColumn id="4" xr3:uid="{C87F4E84-78AE-4521-AF95-0C346063EBDF}" name="作業日付" dataDxfId="16" totalsRowDxfId="17"/>
    <tableColumn id="7" xr3:uid="{97255010-F002-43F3-894D-A6F8DEC5F9A0}" name="工程" dataDxfId="14" totalsRowDxfId="15"/>
    <tableColumn id="2" xr3:uid="{97AA5368-6F7A-4877-BDD7-61F805925CA5}" name="担当者" dataDxfId="12" totalsRowDxfId="13"/>
    <tableColumn id="3" xr3:uid="{1566F0EB-50F2-4C01-A28C-3951CF071032}" name="ケアレスミス" totalsRowFunction="sum" dataDxfId="10" totalsRowDxfId="11"/>
    <tableColumn id="5" xr3:uid="{C9FC2A83-9B7E-4D02-A664-D766D8C3B4B9}" name="解釈" totalsRowFunction="sum" dataDxfId="8" totalsRowDxfId="9"/>
    <tableColumn id="10" xr3:uid="{57F3945F-EE36-46E7-92E3-9AE82FFACE97}" name="マニュアル" totalsRowFunction="sum" dataDxfId="6" totalsRowDxfId="7"/>
    <tableColumn id="8" xr3:uid="{2F4ED9B2-5932-4E45-B5E2-D9B538C5B329}" name="その他" totalsRowFunction="sum" dataDxfId="4" totalsRowDxfId="5"/>
    <tableColumn id="6" xr3:uid="{B69462CC-94D7-426F-B7B7-1DAD3BA6A9C0}" name="合計" totalsRowFunction="sum" dataDxfId="2" totalsRowDxfId="3">
      <calculatedColumnFormula>SUM(テーブル17[[#This Row],[ケアレスミス]:[解釈]])</calculatedColumnFormula>
    </tableColumn>
    <tableColumn id="9" xr3:uid="{007DDDA4-9492-43BD-832B-46E5B7A34D25}" name="インシデント" totalsRowFunction="sum" dataDxfId="0" totalsRowDxfId="1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AEA40-8788-421F-AF47-F425F4B70597}">
  <sheetPr codeName="Sheet21">
    <tabColor theme="7"/>
  </sheetPr>
  <dimension ref="A1:K19"/>
  <sheetViews>
    <sheetView workbookViewId="0">
      <selection activeCell="K4" sqref="K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" customWidth="1"/>
    <col min="9" max="9" width="11.58203125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1" x14ac:dyDescent="0.55000000000000004">
      <c r="A1" s="1" t="s">
        <v>112</v>
      </c>
      <c r="B1" s="2"/>
      <c r="C1" s="3"/>
      <c r="D1" s="3"/>
      <c r="E1" s="3"/>
      <c r="F1" s="3"/>
      <c r="G1" s="3"/>
    </row>
    <row r="2" spans="1:11" x14ac:dyDescent="0.55000000000000004">
      <c r="A2" s="3"/>
      <c r="B2" s="2"/>
      <c r="C2" s="3"/>
      <c r="D2" s="3"/>
      <c r="E2" s="3"/>
      <c r="F2" s="3"/>
      <c r="G2" s="3"/>
    </row>
    <row r="3" spans="1:11" x14ac:dyDescent="0.55000000000000004">
      <c r="K3" s="27" t="s">
        <v>113</v>
      </c>
    </row>
    <row r="4" spans="1:11" x14ac:dyDescent="0.55000000000000004">
      <c r="A4" s="14" t="s">
        <v>114</v>
      </c>
      <c r="B4" s="28">
        <v>45550</v>
      </c>
      <c r="C4" s="28">
        <v>45550</v>
      </c>
      <c r="D4" s="28">
        <v>45550</v>
      </c>
      <c r="E4" s="28">
        <v>45565</v>
      </c>
      <c r="F4" s="28">
        <v>45565</v>
      </c>
      <c r="G4" s="28">
        <v>45565</v>
      </c>
      <c r="K4" s="29">
        <v>45536</v>
      </c>
    </row>
    <row r="5" spans="1:11" x14ac:dyDescent="0.55000000000000004">
      <c r="A5" s="14" t="s">
        <v>115</v>
      </c>
      <c r="B5" s="9" t="s">
        <v>16</v>
      </c>
      <c r="C5" s="9" t="s">
        <v>37</v>
      </c>
      <c r="D5" s="9" t="s">
        <v>19</v>
      </c>
      <c r="E5" s="9" t="s">
        <v>80</v>
      </c>
      <c r="F5" s="9" t="s">
        <v>54</v>
      </c>
      <c r="G5" s="9" t="s">
        <v>37</v>
      </c>
    </row>
    <row r="6" spans="1:11" x14ac:dyDescent="0.55000000000000004">
      <c r="A6" s="30" t="s">
        <v>3</v>
      </c>
      <c r="B6" s="31" t="s">
        <v>12</v>
      </c>
      <c r="C6" s="31" t="s">
        <v>15</v>
      </c>
      <c r="D6" s="31" t="s">
        <v>18</v>
      </c>
      <c r="E6" s="31" t="s">
        <v>12</v>
      </c>
      <c r="F6" s="31" t="s">
        <v>15</v>
      </c>
      <c r="G6" s="31" t="s">
        <v>18</v>
      </c>
    </row>
    <row r="7" spans="1:11" x14ac:dyDescent="0.55000000000000004">
      <c r="A7" s="32" t="s">
        <v>116</v>
      </c>
      <c r="B7" s="33">
        <v>0</v>
      </c>
      <c r="C7" s="33">
        <v>2</v>
      </c>
      <c r="D7" s="33">
        <v>2</v>
      </c>
      <c r="E7" s="34">
        <v>2</v>
      </c>
      <c r="F7" s="33">
        <v>0</v>
      </c>
      <c r="G7" s="33">
        <v>5</v>
      </c>
    </row>
    <row r="8" spans="1:11" x14ac:dyDescent="0.55000000000000004">
      <c r="A8" s="32" t="s">
        <v>117</v>
      </c>
      <c r="B8" s="33">
        <v>0</v>
      </c>
      <c r="C8" s="33">
        <v>0</v>
      </c>
      <c r="D8" s="33">
        <v>0</v>
      </c>
      <c r="E8" s="34">
        <v>0</v>
      </c>
      <c r="F8" s="33">
        <v>0</v>
      </c>
      <c r="G8" s="33">
        <v>0</v>
      </c>
    </row>
    <row r="9" spans="1:11" x14ac:dyDescent="0.55000000000000004">
      <c r="A9" s="32" t="s">
        <v>118</v>
      </c>
      <c r="B9" s="33">
        <v>0</v>
      </c>
      <c r="C9" s="33">
        <v>0</v>
      </c>
      <c r="D9" s="33">
        <v>0</v>
      </c>
      <c r="E9" s="34">
        <v>0</v>
      </c>
      <c r="F9" s="33">
        <v>0</v>
      </c>
      <c r="G9" s="33">
        <v>2</v>
      </c>
    </row>
    <row r="10" spans="1:11" x14ac:dyDescent="0.55000000000000004">
      <c r="A10" s="32" t="s">
        <v>119</v>
      </c>
      <c r="B10" s="33">
        <v>0</v>
      </c>
      <c r="C10" s="33">
        <v>0</v>
      </c>
      <c r="D10" s="33">
        <v>0</v>
      </c>
      <c r="E10" s="34">
        <v>0</v>
      </c>
      <c r="F10" s="33">
        <v>0</v>
      </c>
      <c r="G10" s="33">
        <v>0</v>
      </c>
    </row>
    <row r="11" spans="1:11" x14ac:dyDescent="0.55000000000000004">
      <c r="A11" s="32" t="s">
        <v>120</v>
      </c>
      <c r="B11" s="33">
        <v>0</v>
      </c>
      <c r="C11" s="33">
        <v>0</v>
      </c>
      <c r="D11" s="33">
        <v>0</v>
      </c>
      <c r="E11" s="34">
        <v>0</v>
      </c>
      <c r="F11" s="33">
        <v>0</v>
      </c>
      <c r="G11" s="33">
        <v>0</v>
      </c>
    </row>
    <row r="14" spans="1:11" x14ac:dyDescent="0.55000000000000004">
      <c r="A14" s="14" t="s">
        <v>121</v>
      </c>
      <c r="B14" s="9" t="s">
        <v>65</v>
      </c>
      <c r="C14" s="9" t="s">
        <v>19</v>
      </c>
      <c r="D14" s="9" t="s">
        <v>105</v>
      </c>
      <c r="E14" s="9" t="s">
        <v>54</v>
      </c>
      <c r="F14" s="9" t="s">
        <v>13</v>
      </c>
      <c r="G14" s="9" t="s">
        <v>106</v>
      </c>
      <c r="H14" s="9" t="s">
        <v>80</v>
      </c>
      <c r="I14" s="9" t="s">
        <v>107</v>
      </c>
    </row>
    <row r="15" spans="1:11" x14ac:dyDescent="0.55000000000000004">
      <c r="A15" s="14" t="s">
        <v>122</v>
      </c>
      <c r="B15" s="14">
        <f>SUMIF(B5:G5,B14,B7:G7)</f>
        <v>0</v>
      </c>
      <c r="C15" s="14">
        <f>SUMIF(B5:G5,C14,B7:G7)</f>
        <v>2</v>
      </c>
      <c r="D15" s="14">
        <f>SUMIF(B5:G5,D14,B7:G7)</f>
        <v>7</v>
      </c>
      <c r="E15" s="14">
        <f>SUMIF(B5:G5,E14,B7:G7)</f>
        <v>0</v>
      </c>
      <c r="F15" s="14">
        <f>SUMIF(B5:G5,F14,B7:G7)</f>
        <v>0</v>
      </c>
      <c r="G15" s="14">
        <f>SUMIF(B5:G5,G14,B7:G7)</f>
        <v>0</v>
      </c>
      <c r="H15" s="14">
        <f>SUMIF(B5:G5,H14,B7:G7)</f>
        <v>2</v>
      </c>
      <c r="I15" s="14">
        <f>SUMIF(B5:G5,I14,B7:G7)</f>
        <v>0</v>
      </c>
    </row>
    <row r="16" spans="1:11" x14ac:dyDescent="0.55000000000000004">
      <c r="A16" s="14" t="s">
        <v>123</v>
      </c>
      <c r="B16" s="14">
        <f>SUMIF(B5:G5,B14,B8:G8)</f>
        <v>0</v>
      </c>
      <c r="C16" s="14">
        <f>SUMIF(B5:G5,C14,B8:G8)</f>
        <v>0</v>
      </c>
      <c r="D16" s="14">
        <f>SUMIF(B5:G5,D14,B8:G8)</f>
        <v>0</v>
      </c>
      <c r="E16" s="14">
        <f>SUMIF(B5:G5,E14,B8:G8)</f>
        <v>0</v>
      </c>
      <c r="F16" s="14">
        <f>SUMIF(B5:G5,F14,B8:G8)</f>
        <v>0</v>
      </c>
      <c r="G16" s="14">
        <f>SUMIF(B5:G5,G14,B8:G8)</f>
        <v>0</v>
      </c>
      <c r="H16" s="14">
        <f>SUMIF(B5:G5,H14,B8:G8)</f>
        <v>0</v>
      </c>
      <c r="I16" s="14">
        <f>SUMIF(B5:G5,I14,B8:G8)</f>
        <v>0</v>
      </c>
    </row>
    <row r="17" spans="1:9" x14ac:dyDescent="0.55000000000000004">
      <c r="A17" s="14" t="s">
        <v>7</v>
      </c>
      <c r="B17" s="14">
        <f>SUMIF(B5:G5,B14,B9:G9)</f>
        <v>0</v>
      </c>
      <c r="C17" s="14">
        <f>SUMIF(B5:G5,C14,B9:G9)</f>
        <v>0</v>
      </c>
      <c r="D17" s="14">
        <f>SUMIF(B5:G5,D14,B9:G9)</f>
        <v>2</v>
      </c>
      <c r="E17" s="14">
        <f>SUMIF(B5:G5,E14,B9:G9)</f>
        <v>0</v>
      </c>
      <c r="F17" s="14">
        <f>SUMIF(B5:G5,F14,B9:G9)</f>
        <v>0</v>
      </c>
      <c r="G17" s="14">
        <f>SUMIF(B5:G5,G14,B9:G9)</f>
        <v>0</v>
      </c>
      <c r="H17" s="14">
        <f>SUMIF(B5:G5,H14,B9:G9)</f>
        <v>0</v>
      </c>
      <c r="I17" s="14">
        <f>SUMIF(B5:G5,I14,B9:G9)</f>
        <v>0</v>
      </c>
    </row>
    <row r="18" spans="1:9" x14ac:dyDescent="0.55000000000000004">
      <c r="A18" s="14" t="s">
        <v>8</v>
      </c>
      <c r="B18" s="14">
        <f>SUMIF(B5:G5,B14,B10:G10)</f>
        <v>0</v>
      </c>
      <c r="C18" s="14">
        <f>SUMIF(B5:G5,C14,B10:G10)</f>
        <v>0</v>
      </c>
      <c r="D18" s="14">
        <f>SUMIF(B5:G5,D14,B10:G10)</f>
        <v>0</v>
      </c>
      <c r="E18" s="14">
        <f>SUMIF(B5:G5,E14,B10:G10)</f>
        <v>0</v>
      </c>
      <c r="F18" s="14">
        <f>SUMIF(B5:G5,F14,B10:G10)</f>
        <v>0</v>
      </c>
      <c r="G18" s="14">
        <f>SUMIF(B5:G5,G14,B10:G10)</f>
        <v>0</v>
      </c>
      <c r="H18" s="14">
        <f>SUMIF(B5:G5,H14,B10:G10)</f>
        <v>0</v>
      </c>
      <c r="I18" s="14">
        <f>SUMIF(B5:G5,I14,B10:G10)</f>
        <v>0</v>
      </c>
    </row>
    <row r="19" spans="1:9" x14ac:dyDescent="0.55000000000000004">
      <c r="A19" s="14" t="s">
        <v>10</v>
      </c>
      <c r="B19" s="14">
        <f>SUMIF(B5:G5,B14,B11:G11)</f>
        <v>0</v>
      </c>
      <c r="C19" s="14">
        <f>SUMIF(B5:G5,C14,B11:G11)</f>
        <v>0</v>
      </c>
      <c r="D19" s="14">
        <f>SUMIF(B5:G5,D14,B11:G11)</f>
        <v>0</v>
      </c>
      <c r="E19" s="14">
        <f>SUMIF(B5:G5,E14,B11:G11)</f>
        <v>0</v>
      </c>
      <c r="F19" s="14">
        <f>SUMIF(B5:G5,F14,B11:G11)</f>
        <v>0</v>
      </c>
      <c r="G19" s="14">
        <f>SUMIF(B5:G5,G14,B11:G11)</f>
        <v>0</v>
      </c>
      <c r="H19" s="14">
        <f>SUMIF(B5:G5,H14,B11:G11)</f>
        <v>0</v>
      </c>
      <c r="I19" s="14">
        <f>SUMIF(B5:G5,I14,B11:G11)</f>
        <v>0</v>
      </c>
    </row>
  </sheetData>
  <phoneticPr fontId="2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4856D-688A-4D53-8F68-A07EBA9C1CE2}">
  <sheetPr codeName="Sheet1">
    <tabColor rgb="FF0070C0"/>
  </sheetPr>
  <dimension ref="A1:M100"/>
  <sheetViews>
    <sheetView tabSelected="1" workbookViewId="0">
      <pane ySplit="3" topLeftCell="A67" activePane="bottomLeft" state="frozen"/>
      <selection pane="bottomLeft" activeCell="B82" sqref="B82"/>
    </sheetView>
  </sheetViews>
  <sheetFormatPr defaultRowHeight="18" x14ac:dyDescent="0.55000000000000004"/>
  <cols>
    <col min="1" max="2" width="9.58203125" customWidth="1"/>
    <col min="3" max="3" width="6.83203125" customWidth="1"/>
    <col min="4" max="4" width="11.75" customWidth="1"/>
    <col min="5" max="5" width="13.58203125" customWidth="1"/>
    <col min="6" max="6" width="8.6640625" customWidth="1"/>
    <col min="7" max="7" width="11.33203125" customWidth="1"/>
    <col min="8" max="8" width="8.6640625" customWidth="1"/>
    <col min="9" max="9" width="7.83203125" customWidth="1"/>
    <col min="10" max="10" width="13.4140625" customWidth="1"/>
    <col min="11" max="16" width="9.5" bestFit="1" customWidth="1"/>
  </cols>
  <sheetData>
    <row r="1" spans="1:13" x14ac:dyDescent="0.55000000000000004">
      <c r="A1" s="1" t="s">
        <v>0</v>
      </c>
      <c r="B1" s="1"/>
      <c r="C1" s="1"/>
      <c r="D1" s="2"/>
      <c r="E1" s="3"/>
      <c r="F1" s="3"/>
      <c r="G1" s="3"/>
      <c r="H1" s="3"/>
      <c r="I1" s="3"/>
      <c r="J1" s="3"/>
      <c r="K1" s="3"/>
      <c r="L1" s="3"/>
      <c r="M1" s="3"/>
    </row>
    <row r="3" spans="1:13" x14ac:dyDescent="0.55000000000000004">
      <c r="A3" s="4" t="s">
        <v>1</v>
      </c>
      <c r="B3" s="4" t="s">
        <v>2</v>
      </c>
      <c r="C3" s="4" t="s">
        <v>3</v>
      </c>
      <c r="D3" s="5" t="s">
        <v>4</v>
      </c>
      <c r="E3" s="5" t="s">
        <v>5</v>
      </c>
      <c r="F3" s="5" t="s">
        <v>6</v>
      </c>
      <c r="G3" s="6" t="s">
        <v>7</v>
      </c>
      <c r="H3" s="6" t="s">
        <v>8</v>
      </c>
      <c r="I3" s="6" t="s">
        <v>9</v>
      </c>
      <c r="J3" s="5" t="s">
        <v>10</v>
      </c>
    </row>
    <row r="4" spans="1:13" x14ac:dyDescent="0.55000000000000004">
      <c r="A4" s="7" t="s">
        <v>11</v>
      </c>
      <c r="B4" s="7"/>
      <c r="C4" s="8" t="s">
        <v>12</v>
      </c>
      <c r="D4" s="9" t="s">
        <v>13</v>
      </c>
      <c r="E4" s="10">
        <v>0</v>
      </c>
      <c r="F4" s="10">
        <v>0</v>
      </c>
      <c r="G4" s="11">
        <v>0</v>
      </c>
      <c r="H4" s="11">
        <v>0</v>
      </c>
      <c r="I4" s="12">
        <f>SUM(テーブル17[[#This Row],[ケアレスミス]:[解釈]])</f>
        <v>0</v>
      </c>
      <c r="J4" s="13">
        <v>0</v>
      </c>
    </row>
    <row r="5" spans="1:13" x14ac:dyDescent="0.55000000000000004">
      <c r="A5" s="7" t="s">
        <v>14</v>
      </c>
      <c r="B5" s="7"/>
      <c r="C5" s="8" t="s">
        <v>15</v>
      </c>
      <c r="D5" s="9" t="s">
        <v>16</v>
      </c>
      <c r="E5" s="10">
        <v>0</v>
      </c>
      <c r="F5" s="10">
        <v>0</v>
      </c>
      <c r="G5" s="11">
        <v>0</v>
      </c>
      <c r="H5" s="11">
        <v>0</v>
      </c>
      <c r="I5" s="12">
        <f>SUM(テーブル17[[#This Row],[ケアレスミス]:[解釈]])</f>
        <v>0</v>
      </c>
      <c r="J5" s="13">
        <v>0</v>
      </c>
    </row>
    <row r="6" spans="1:13" x14ac:dyDescent="0.55000000000000004">
      <c r="A6" s="7" t="s">
        <v>17</v>
      </c>
      <c r="B6" s="7"/>
      <c r="C6" s="8" t="s">
        <v>18</v>
      </c>
      <c r="D6" s="9" t="s">
        <v>19</v>
      </c>
      <c r="E6" s="10">
        <v>1</v>
      </c>
      <c r="F6" s="10">
        <v>0</v>
      </c>
      <c r="G6" s="11">
        <v>0</v>
      </c>
      <c r="H6" s="11">
        <v>0</v>
      </c>
      <c r="I6" s="12">
        <f>SUM(テーブル17[[#This Row],[ケアレスミス]:[解釈]])</f>
        <v>1</v>
      </c>
      <c r="J6" s="13">
        <v>0</v>
      </c>
    </row>
    <row r="7" spans="1:13" x14ac:dyDescent="0.55000000000000004">
      <c r="A7" s="7" t="s">
        <v>20</v>
      </c>
      <c r="B7" s="7"/>
      <c r="C7" s="8" t="s">
        <v>12</v>
      </c>
      <c r="D7" s="9" t="s">
        <v>19</v>
      </c>
      <c r="E7" s="10">
        <v>0</v>
      </c>
      <c r="F7" s="10">
        <v>0</v>
      </c>
      <c r="G7" s="11">
        <v>0</v>
      </c>
      <c r="H7" s="11">
        <v>0</v>
      </c>
      <c r="I7" s="12">
        <f>SUM(テーブル17[[#This Row],[ケアレスミス]:[解釈]])</f>
        <v>0</v>
      </c>
      <c r="J7" s="13">
        <v>0</v>
      </c>
    </row>
    <row r="8" spans="1:13" x14ac:dyDescent="0.55000000000000004">
      <c r="A8" s="7" t="s">
        <v>21</v>
      </c>
      <c r="B8" s="7"/>
      <c r="C8" s="8" t="s">
        <v>15</v>
      </c>
      <c r="D8" s="9" t="s">
        <v>13</v>
      </c>
      <c r="E8" s="10">
        <v>0</v>
      </c>
      <c r="F8" s="10">
        <v>0</v>
      </c>
      <c r="G8" s="11">
        <v>0</v>
      </c>
      <c r="H8" s="11">
        <v>0</v>
      </c>
      <c r="I8" s="12">
        <f>SUM(テーブル17[[#This Row],[ケアレスミス]:[解釈]])</f>
        <v>0</v>
      </c>
      <c r="J8" s="13">
        <v>0</v>
      </c>
    </row>
    <row r="9" spans="1:13" x14ac:dyDescent="0.55000000000000004">
      <c r="A9" s="7" t="s">
        <v>22</v>
      </c>
      <c r="B9" s="7"/>
      <c r="C9" s="8" t="s">
        <v>18</v>
      </c>
      <c r="D9" s="9" t="s">
        <v>16</v>
      </c>
      <c r="E9" s="10">
        <v>1</v>
      </c>
      <c r="F9" s="10">
        <v>0</v>
      </c>
      <c r="G9" s="11">
        <v>0</v>
      </c>
      <c r="H9" s="11">
        <v>0</v>
      </c>
      <c r="I9" s="12">
        <f>SUM(テーブル17[[#This Row],[ケアレスミス]:[解釈]])</f>
        <v>1</v>
      </c>
      <c r="J9" s="13">
        <v>0</v>
      </c>
    </row>
    <row r="10" spans="1:13" x14ac:dyDescent="0.55000000000000004">
      <c r="A10" s="7" t="s">
        <v>23</v>
      </c>
      <c r="B10" s="7"/>
      <c r="C10" s="8" t="s">
        <v>12</v>
      </c>
      <c r="D10" s="9" t="s">
        <v>16</v>
      </c>
      <c r="E10" s="14">
        <v>0</v>
      </c>
      <c r="F10" s="14">
        <v>0</v>
      </c>
      <c r="G10" s="12">
        <v>0</v>
      </c>
      <c r="H10" s="11">
        <v>0</v>
      </c>
      <c r="I10" s="12">
        <f>SUM(テーブル17[[#This Row],[ケアレスミス]:[解釈]])</f>
        <v>0</v>
      </c>
      <c r="J10" s="13">
        <v>0</v>
      </c>
    </row>
    <row r="11" spans="1:13" x14ac:dyDescent="0.55000000000000004">
      <c r="A11" s="7" t="s">
        <v>24</v>
      </c>
      <c r="B11" s="7"/>
      <c r="C11" s="8" t="s">
        <v>15</v>
      </c>
      <c r="D11" s="9" t="s">
        <v>19</v>
      </c>
      <c r="E11" s="14">
        <v>4</v>
      </c>
      <c r="F11" s="14">
        <v>0</v>
      </c>
      <c r="G11" s="12">
        <v>0</v>
      </c>
      <c r="H11" s="11">
        <v>0</v>
      </c>
      <c r="I11" s="12">
        <f>SUM(テーブル17[[#This Row],[ケアレスミス]:[解釈]])</f>
        <v>4</v>
      </c>
      <c r="J11" s="13">
        <v>0</v>
      </c>
    </row>
    <row r="12" spans="1:13" x14ac:dyDescent="0.55000000000000004">
      <c r="A12" s="7" t="s">
        <v>25</v>
      </c>
      <c r="B12" s="7"/>
      <c r="C12" s="8" t="s">
        <v>18</v>
      </c>
      <c r="D12" s="9" t="s">
        <v>13</v>
      </c>
      <c r="E12" s="14">
        <v>0</v>
      </c>
      <c r="F12" s="14">
        <v>0</v>
      </c>
      <c r="G12" s="12">
        <v>0</v>
      </c>
      <c r="H12" s="11">
        <v>0</v>
      </c>
      <c r="I12" s="12">
        <f>SUM(テーブル17[[#This Row],[ケアレスミス]:[解釈]])</f>
        <v>0</v>
      </c>
      <c r="J12" s="13">
        <v>0</v>
      </c>
    </row>
    <row r="13" spans="1:13" x14ac:dyDescent="0.55000000000000004">
      <c r="A13" s="7" t="s">
        <v>26</v>
      </c>
      <c r="B13" s="7"/>
      <c r="C13" s="8" t="s">
        <v>12</v>
      </c>
      <c r="D13" s="9" t="s">
        <v>13</v>
      </c>
      <c r="E13" s="14">
        <v>0</v>
      </c>
      <c r="F13" s="14">
        <v>0</v>
      </c>
      <c r="G13" s="12">
        <v>0</v>
      </c>
      <c r="H13" s="11">
        <v>0</v>
      </c>
      <c r="I13" s="12">
        <f>SUM(テーブル17[[#This Row],[ケアレスミス]:[解釈]])</f>
        <v>0</v>
      </c>
      <c r="J13" s="13">
        <v>0</v>
      </c>
    </row>
    <row r="14" spans="1:13" x14ac:dyDescent="0.55000000000000004">
      <c r="A14" s="7" t="s">
        <v>27</v>
      </c>
      <c r="B14" s="7"/>
      <c r="C14" s="8" t="s">
        <v>15</v>
      </c>
      <c r="D14" s="9" t="s">
        <v>16</v>
      </c>
      <c r="E14" s="14">
        <v>0</v>
      </c>
      <c r="F14" s="14">
        <v>0</v>
      </c>
      <c r="G14" s="12">
        <v>0</v>
      </c>
      <c r="H14" s="11">
        <v>0</v>
      </c>
      <c r="I14" s="12">
        <f>SUM(テーブル17[[#This Row],[ケアレスミス]:[解釈]])</f>
        <v>0</v>
      </c>
      <c r="J14" s="13">
        <v>0</v>
      </c>
    </row>
    <row r="15" spans="1:13" x14ac:dyDescent="0.55000000000000004">
      <c r="A15" s="7" t="s">
        <v>28</v>
      </c>
      <c r="B15" s="7"/>
      <c r="C15" s="8" t="s">
        <v>18</v>
      </c>
      <c r="D15" s="9" t="s">
        <v>19</v>
      </c>
      <c r="E15" s="14">
        <v>2</v>
      </c>
      <c r="F15" s="14">
        <v>0</v>
      </c>
      <c r="G15" s="12">
        <v>0</v>
      </c>
      <c r="H15" s="11">
        <v>0</v>
      </c>
      <c r="I15" s="12">
        <f>SUM(テーブル17[[#This Row],[ケアレスミス]:[解釈]])</f>
        <v>2</v>
      </c>
      <c r="J15" s="13">
        <v>0</v>
      </c>
    </row>
    <row r="16" spans="1:13" x14ac:dyDescent="0.55000000000000004">
      <c r="A16" s="7" t="s">
        <v>29</v>
      </c>
      <c r="B16" s="7"/>
      <c r="C16" s="8" t="s">
        <v>12</v>
      </c>
      <c r="D16" s="9" t="s">
        <v>19</v>
      </c>
      <c r="E16" s="10">
        <v>0</v>
      </c>
      <c r="F16" s="10">
        <v>0</v>
      </c>
      <c r="G16" s="12">
        <v>0</v>
      </c>
      <c r="H16" s="11">
        <v>0</v>
      </c>
      <c r="I16" s="12">
        <f>SUM(テーブル17[[#This Row],[ケアレスミス]:[解釈]])</f>
        <v>0</v>
      </c>
      <c r="J16" s="13">
        <v>0</v>
      </c>
    </row>
    <row r="17" spans="1:11" x14ac:dyDescent="0.55000000000000004">
      <c r="A17" s="7" t="s">
        <v>30</v>
      </c>
      <c r="B17" s="7"/>
      <c r="C17" s="8" t="s">
        <v>15</v>
      </c>
      <c r="D17" s="9" t="s">
        <v>13</v>
      </c>
      <c r="E17" s="10">
        <v>0</v>
      </c>
      <c r="F17" s="10">
        <v>0</v>
      </c>
      <c r="G17" s="12">
        <v>0</v>
      </c>
      <c r="H17" s="11">
        <v>0</v>
      </c>
      <c r="I17" s="12">
        <f>SUM(テーブル17[[#This Row],[ケアレスミス]:[解釈]])</f>
        <v>0</v>
      </c>
      <c r="J17" s="13">
        <v>0</v>
      </c>
    </row>
    <row r="18" spans="1:11" x14ac:dyDescent="0.55000000000000004">
      <c r="A18" s="7" t="s">
        <v>31</v>
      </c>
      <c r="B18" s="7"/>
      <c r="C18" s="8" t="s">
        <v>18</v>
      </c>
      <c r="D18" s="9" t="s">
        <v>16</v>
      </c>
      <c r="E18" s="10">
        <v>0</v>
      </c>
      <c r="F18" s="10">
        <v>0</v>
      </c>
      <c r="G18" s="12">
        <v>0</v>
      </c>
      <c r="H18" s="11">
        <v>0</v>
      </c>
      <c r="I18" s="12">
        <f>SUM(テーブル17[[#This Row],[ケアレスミス]:[解釈]])</f>
        <v>0</v>
      </c>
      <c r="J18" s="13">
        <v>0</v>
      </c>
    </row>
    <row r="19" spans="1:11" x14ac:dyDescent="0.55000000000000004">
      <c r="A19" s="7" t="s">
        <v>32</v>
      </c>
      <c r="B19" s="7"/>
      <c r="C19" s="8" t="s">
        <v>12</v>
      </c>
      <c r="D19" s="9" t="s">
        <v>16</v>
      </c>
      <c r="E19" s="10">
        <v>0</v>
      </c>
      <c r="F19" s="10">
        <v>0</v>
      </c>
      <c r="G19" s="12">
        <v>0</v>
      </c>
      <c r="H19" s="11">
        <v>0</v>
      </c>
      <c r="I19" s="12">
        <f>SUM(テーブル17[[#This Row],[ケアレスミス]:[解釈]])</f>
        <v>0</v>
      </c>
      <c r="J19" s="13">
        <v>0</v>
      </c>
    </row>
    <row r="20" spans="1:11" x14ac:dyDescent="0.55000000000000004">
      <c r="A20" s="7" t="s">
        <v>33</v>
      </c>
      <c r="B20" s="7"/>
      <c r="C20" s="8" t="s">
        <v>15</v>
      </c>
      <c r="D20" s="9" t="s">
        <v>19</v>
      </c>
      <c r="E20" s="10">
        <v>2</v>
      </c>
      <c r="F20" s="10">
        <v>0</v>
      </c>
      <c r="G20" s="12">
        <v>0</v>
      </c>
      <c r="H20" s="11">
        <v>0</v>
      </c>
      <c r="I20" s="12">
        <f>SUM(テーブル17[[#This Row],[ケアレスミス]:[解釈]])</f>
        <v>2</v>
      </c>
      <c r="J20" s="13">
        <v>0</v>
      </c>
    </row>
    <row r="21" spans="1:11" x14ac:dyDescent="0.55000000000000004">
      <c r="A21" s="7" t="s">
        <v>34</v>
      </c>
      <c r="B21" s="7"/>
      <c r="C21" s="8" t="s">
        <v>18</v>
      </c>
      <c r="D21" s="9" t="s">
        <v>13</v>
      </c>
      <c r="E21" s="10">
        <v>0</v>
      </c>
      <c r="F21" s="10">
        <v>0</v>
      </c>
      <c r="G21" s="12">
        <v>0</v>
      </c>
      <c r="H21" s="11">
        <v>0</v>
      </c>
      <c r="I21" s="12">
        <f>SUM(テーブル17[[#This Row],[ケアレスミス]:[解釈]])</f>
        <v>0</v>
      </c>
      <c r="J21" s="13">
        <v>0</v>
      </c>
      <c r="K21" t="s">
        <v>35</v>
      </c>
    </row>
    <row r="22" spans="1:11" x14ac:dyDescent="0.55000000000000004">
      <c r="A22" s="7" t="s">
        <v>36</v>
      </c>
      <c r="B22" s="7"/>
      <c r="C22" s="8" t="s">
        <v>12</v>
      </c>
      <c r="D22" s="9" t="s">
        <v>37</v>
      </c>
      <c r="E22" s="14">
        <v>2</v>
      </c>
      <c r="F22" s="14">
        <v>2</v>
      </c>
      <c r="G22" s="12">
        <v>0</v>
      </c>
      <c r="H22" s="11">
        <v>0</v>
      </c>
      <c r="I22" s="12">
        <f>SUM(テーブル17[[#This Row],[ケアレスミス]:[解釈]])</f>
        <v>4</v>
      </c>
      <c r="J22" s="13">
        <v>0</v>
      </c>
    </row>
    <row r="23" spans="1:11" x14ac:dyDescent="0.55000000000000004">
      <c r="A23" s="7" t="s">
        <v>38</v>
      </c>
      <c r="B23" s="7"/>
      <c r="C23" s="8" t="s">
        <v>15</v>
      </c>
      <c r="D23" s="9" t="s">
        <v>39</v>
      </c>
      <c r="E23" s="14">
        <v>0</v>
      </c>
      <c r="F23" s="14">
        <v>0</v>
      </c>
      <c r="G23" s="12">
        <v>0</v>
      </c>
      <c r="H23" s="11">
        <v>0</v>
      </c>
      <c r="I23" s="12">
        <f>SUM(テーブル17[[#This Row],[ケアレスミス]:[解釈]])</f>
        <v>0</v>
      </c>
      <c r="J23" s="13">
        <v>0</v>
      </c>
    </row>
    <row r="24" spans="1:11" x14ac:dyDescent="0.55000000000000004">
      <c r="A24" s="7" t="s">
        <v>40</v>
      </c>
      <c r="B24" s="7"/>
      <c r="C24" s="8" t="s">
        <v>18</v>
      </c>
      <c r="D24" s="9" t="s">
        <v>13</v>
      </c>
      <c r="E24" s="14">
        <v>1</v>
      </c>
      <c r="F24" s="14">
        <v>0</v>
      </c>
      <c r="G24" s="12">
        <v>0</v>
      </c>
      <c r="H24" s="11">
        <v>0</v>
      </c>
      <c r="I24" s="12">
        <f>SUM(テーブル17[[#This Row],[ケアレスミス]:[解釈]])</f>
        <v>1</v>
      </c>
      <c r="J24" s="13">
        <v>0</v>
      </c>
    </row>
    <row r="25" spans="1:11" x14ac:dyDescent="0.55000000000000004">
      <c r="A25" s="7" t="s">
        <v>41</v>
      </c>
      <c r="B25" s="7"/>
      <c r="C25" s="8" t="s">
        <v>12</v>
      </c>
      <c r="D25" s="9" t="s">
        <v>16</v>
      </c>
      <c r="E25" s="14">
        <v>0</v>
      </c>
      <c r="F25" s="14">
        <v>0</v>
      </c>
      <c r="G25" s="12">
        <v>0</v>
      </c>
      <c r="H25" s="11">
        <v>0</v>
      </c>
      <c r="I25" s="12">
        <f>SUM(テーブル17[[#This Row],[ケアレスミス]:[解釈]])</f>
        <v>0</v>
      </c>
      <c r="J25" s="13">
        <v>0</v>
      </c>
    </row>
    <row r="26" spans="1:11" x14ac:dyDescent="0.55000000000000004">
      <c r="A26" s="7" t="s">
        <v>42</v>
      </c>
      <c r="B26" s="7"/>
      <c r="C26" s="8" t="s">
        <v>15</v>
      </c>
      <c r="D26" s="9" t="s">
        <v>37</v>
      </c>
      <c r="E26" s="14">
        <v>3</v>
      </c>
      <c r="F26" s="14">
        <v>0</v>
      </c>
      <c r="G26" s="12">
        <v>0</v>
      </c>
      <c r="H26" s="11">
        <v>0</v>
      </c>
      <c r="I26" s="12">
        <f>SUM(テーブル17[[#This Row],[ケアレスミス]:[解釈]])</f>
        <v>3</v>
      </c>
      <c r="J26" s="13">
        <v>0</v>
      </c>
    </row>
    <row r="27" spans="1:11" x14ac:dyDescent="0.55000000000000004">
      <c r="A27" s="7" t="s">
        <v>43</v>
      </c>
      <c r="B27" s="7"/>
      <c r="C27" s="8" t="s">
        <v>18</v>
      </c>
      <c r="D27" s="15" t="s">
        <v>39</v>
      </c>
      <c r="E27" s="16">
        <v>3</v>
      </c>
      <c r="F27" s="16">
        <v>0</v>
      </c>
      <c r="G27" s="12">
        <v>0</v>
      </c>
      <c r="H27" s="11">
        <v>0</v>
      </c>
      <c r="I27" s="17">
        <f>SUM(テーブル17[[#This Row],[ケアレスミス]:[解釈]])</f>
        <v>3</v>
      </c>
      <c r="J27" s="13">
        <v>0</v>
      </c>
    </row>
    <row r="28" spans="1:11" x14ac:dyDescent="0.55000000000000004">
      <c r="A28" s="7" t="s">
        <v>44</v>
      </c>
      <c r="B28" s="7"/>
      <c r="C28" s="8" t="s">
        <v>12</v>
      </c>
      <c r="D28" s="15" t="s">
        <v>16</v>
      </c>
      <c r="E28" s="16">
        <v>1</v>
      </c>
      <c r="F28" s="16">
        <v>0</v>
      </c>
      <c r="G28" s="12">
        <v>0</v>
      </c>
      <c r="H28" s="11">
        <v>0</v>
      </c>
      <c r="I28" s="17">
        <f>SUM(テーブル17[[#This Row],[ケアレスミス]:[解釈]])</f>
        <v>1</v>
      </c>
      <c r="J28" s="14">
        <v>1</v>
      </c>
    </row>
    <row r="29" spans="1:11" x14ac:dyDescent="0.55000000000000004">
      <c r="A29" s="7" t="s">
        <v>45</v>
      </c>
      <c r="B29" s="7"/>
      <c r="C29" s="8" t="s">
        <v>15</v>
      </c>
      <c r="D29" s="15" t="s">
        <v>19</v>
      </c>
      <c r="E29" s="16">
        <v>1</v>
      </c>
      <c r="F29" s="16">
        <v>0</v>
      </c>
      <c r="G29" s="12">
        <v>0</v>
      </c>
      <c r="H29" s="11">
        <v>0</v>
      </c>
      <c r="I29" s="17">
        <f>SUM(テーブル17[[#This Row],[ケアレスミス]:[解釈]])</f>
        <v>1</v>
      </c>
      <c r="J29" s="14">
        <v>0</v>
      </c>
    </row>
    <row r="30" spans="1:11" x14ac:dyDescent="0.55000000000000004">
      <c r="A30" s="7" t="s">
        <v>46</v>
      </c>
      <c r="B30" s="7"/>
      <c r="C30" s="8" t="s">
        <v>18</v>
      </c>
      <c r="D30" s="15" t="s">
        <v>37</v>
      </c>
      <c r="E30" s="16">
        <v>4</v>
      </c>
      <c r="F30" s="16">
        <v>0</v>
      </c>
      <c r="G30" s="12">
        <v>0</v>
      </c>
      <c r="H30" s="11">
        <v>0</v>
      </c>
      <c r="I30" s="17">
        <f>SUM(テーブル17[[#This Row],[ケアレスミス]:[解釈]])</f>
        <v>4</v>
      </c>
      <c r="J30" s="14">
        <v>0</v>
      </c>
    </row>
    <row r="31" spans="1:11" x14ac:dyDescent="0.55000000000000004">
      <c r="A31" s="7" t="s">
        <v>47</v>
      </c>
      <c r="B31" s="7"/>
      <c r="C31" s="8" t="s">
        <v>12</v>
      </c>
      <c r="D31" s="15" t="s">
        <v>37</v>
      </c>
      <c r="E31" s="16">
        <v>0</v>
      </c>
      <c r="F31" s="16">
        <v>0</v>
      </c>
      <c r="G31" s="12">
        <v>0</v>
      </c>
      <c r="H31" s="11">
        <v>0</v>
      </c>
      <c r="I31" s="17">
        <f>SUM(テーブル17[[#This Row],[ケアレスミス]:[解釈]])</f>
        <v>0</v>
      </c>
      <c r="J31" s="14">
        <v>0</v>
      </c>
    </row>
    <row r="32" spans="1:11" x14ac:dyDescent="0.55000000000000004">
      <c r="A32" s="7" t="s">
        <v>48</v>
      </c>
      <c r="B32" s="7"/>
      <c r="C32" s="8" t="s">
        <v>15</v>
      </c>
      <c r="D32" s="15" t="s">
        <v>16</v>
      </c>
      <c r="E32" s="16">
        <v>1</v>
      </c>
      <c r="F32" s="16">
        <v>0</v>
      </c>
      <c r="G32" s="12">
        <v>0</v>
      </c>
      <c r="H32" s="11">
        <v>0</v>
      </c>
      <c r="I32" s="17">
        <f>SUM(テーブル17[[#This Row],[ケアレスミス]:[解釈]])</f>
        <v>1</v>
      </c>
      <c r="J32" s="14">
        <v>0</v>
      </c>
    </row>
    <row r="33" spans="1:10" x14ac:dyDescent="0.55000000000000004">
      <c r="A33" s="7" t="s">
        <v>49</v>
      </c>
      <c r="B33" s="7"/>
      <c r="C33" s="8" t="s">
        <v>18</v>
      </c>
      <c r="D33" s="15" t="s">
        <v>19</v>
      </c>
      <c r="E33" s="16">
        <v>18</v>
      </c>
      <c r="F33" s="16">
        <v>0</v>
      </c>
      <c r="G33" s="12">
        <v>0</v>
      </c>
      <c r="H33" s="11">
        <v>0</v>
      </c>
      <c r="I33" s="17">
        <f>SUM(テーブル17[[#This Row],[ケアレスミス]:[解釈]])</f>
        <v>18</v>
      </c>
      <c r="J33" s="14">
        <v>0</v>
      </c>
    </row>
    <row r="34" spans="1:10" x14ac:dyDescent="0.55000000000000004">
      <c r="A34" s="7" t="s">
        <v>50</v>
      </c>
      <c r="B34" s="7"/>
      <c r="C34" s="8" t="s">
        <v>12</v>
      </c>
      <c r="D34" s="15" t="s">
        <v>19</v>
      </c>
      <c r="E34" s="16">
        <v>4</v>
      </c>
      <c r="F34" s="16">
        <v>0</v>
      </c>
      <c r="G34" s="12">
        <v>0</v>
      </c>
      <c r="H34" s="11">
        <v>0</v>
      </c>
      <c r="I34" s="17">
        <f>SUM(テーブル17[[#This Row],[ケアレスミス]:[解釈]])</f>
        <v>4</v>
      </c>
      <c r="J34" s="14">
        <v>0</v>
      </c>
    </row>
    <row r="35" spans="1:10" x14ac:dyDescent="0.55000000000000004">
      <c r="A35" s="7" t="s">
        <v>51</v>
      </c>
      <c r="B35" s="7"/>
      <c r="C35" s="8" t="s">
        <v>15</v>
      </c>
      <c r="D35" s="15" t="s">
        <v>37</v>
      </c>
      <c r="E35" s="16">
        <v>4</v>
      </c>
      <c r="F35" s="16">
        <v>0</v>
      </c>
      <c r="G35" s="12">
        <v>0</v>
      </c>
      <c r="H35" s="11">
        <v>0</v>
      </c>
      <c r="I35" s="17">
        <f>SUM(テーブル17[[#This Row],[ケアレスミス]:[解釈]])</f>
        <v>4</v>
      </c>
      <c r="J35" s="14">
        <v>0</v>
      </c>
    </row>
    <row r="36" spans="1:10" x14ac:dyDescent="0.55000000000000004">
      <c r="A36" s="7" t="s">
        <v>52</v>
      </c>
      <c r="B36" s="7"/>
      <c r="C36" s="8" t="s">
        <v>18</v>
      </c>
      <c r="D36" s="15" t="s">
        <v>16</v>
      </c>
      <c r="E36" s="16">
        <v>0</v>
      </c>
      <c r="F36" s="16">
        <v>0</v>
      </c>
      <c r="G36" s="12">
        <v>0</v>
      </c>
      <c r="H36" s="11">
        <v>0</v>
      </c>
      <c r="I36" s="17">
        <f>SUM(テーブル17[[#This Row],[ケアレスミス]:[解釈]])</f>
        <v>0</v>
      </c>
      <c r="J36" s="14">
        <v>0</v>
      </c>
    </row>
    <row r="37" spans="1:10" x14ac:dyDescent="0.55000000000000004">
      <c r="A37" s="7" t="s">
        <v>53</v>
      </c>
      <c r="B37" s="7"/>
      <c r="C37" s="8" t="s">
        <v>12</v>
      </c>
      <c r="D37" s="9" t="s">
        <v>54</v>
      </c>
      <c r="E37" s="14">
        <v>1</v>
      </c>
      <c r="F37" s="14">
        <v>0</v>
      </c>
      <c r="G37" s="12">
        <v>0</v>
      </c>
      <c r="H37" s="11">
        <v>0</v>
      </c>
      <c r="I37" s="12">
        <f>SUM(テーブル17[[#This Row],[ケアレスミス]:[解釈]])</f>
        <v>1</v>
      </c>
      <c r="J37" s="14">
        <v>0</v>
      </c>
    </row>
    <row r="38" spans="1:10" x14ac:dyDescent="0.55000000000000004">
      <c r="A38" s="7" t="s">
        <v>55</v>
      </c>
      <c r="B38" s="7"/>
      <c r="C38" s="8" t="s">
        <v>15</v>
      </c>
      <c r="D38" s="9" t="s">
        <v>19</v>
      </c>
      <c r="E38" s="14">
        <v>1</v>
      </c>
      <c r="F38" s="14">
        <v>0</v>
      </c>
      <c r="G38" s="12">
        <v>0</v>
      </c>
      <c r="H38" s="11">
        <v>0</v>
      </c>
      <c r="I38" s="12">
        <f>SUM(テーブル17[[#This Row],[ケアレスミス]:[解釈]])</f>
        <v>1</v>
      </c>
      <c r="J38" s="14">
        <v>0</v>
      </c>
    </row>
    <row r="39" spans="1:10" x14ac:dyDescent="0.55000000000000004">
      <c r="A39" s="7" t="s">
        <v>56</v>
      </c>
      <c r="B39" s="7"/>
      <c r="C39" s="8" t="s">
        <v>18</v>
      </c>
      <c r="D39" s="9" t="s">
        <v>16</v>
      </c>
      <c r="E39" s="14">
        <v>0</v>
      </c>
      <c r="F39" s="14">
        <v>0</v>
      </c>
      <c r="G39" s="12">
        <v>0</v>
      </c>
      <c r="H39" s="11">
        <v>0</v>
      </c>
      <c r="I39" s="12">
        <f>SUM(テーブル17[[#This Row],[ケアレスミス]:[解釈]])</f>
        <v>0</v>
      </c>
      <c r="J39" s="14">
        <v>0</v>
      </c>
    </row>
    <row r="40" spans="1:10" x14ac:dyDescent="0.55000000000000004">
      <c r="A40" s="7" t="s">
        <v>57</v>
      </c>
      <c r="B40" s="7"/>
      <c r="C40" s="8" t="s">
        <v>12</v>
      </c>
      <c r="D40" s="9" t="s">
        <v>37</v>
      </c>
      <c r="E40" s="14">
        <v>0</v>
      </c>
      <c r="F40" s="14">
        <v>0</v>
      </c>
      <c r="G40" s="12">
        <v>0</v>
      </c>
      <c r="H40" s="11">
        <v>0</v>
      </c>
      <c r="I40" s="12">
        <f>SUM(テーブル17[[#This Row],[ケアレスミス]:[解釈]])</f>
        <v>0</v>
      </c>
      <c r="J40" s="14">
        <v>0</v>
      </c>
    </row>
    <row r="41" spans="1:10" x14ac:dyDescent="0.55000000000000004">
      <c r="A41" s="7" t="s">
        <v>58</v>
      </c>
      <c r="B41" s="7"/>
      <c r="C41" s="8" t="s">
        <v>15</v>
      </c>
      <c r="D41" s="9" t="s">
        <v>54</v>
      </c>
      <c r="E41" s="14">
        <v>0</v>
      </c>
      <c r="F41" s="14">
        <v>0</v>
      </c>
      <c r="G41" s="12">
        <v>0</v>
      </c>
      <c r="H41" s="11">
        <v>0</v>
      </c>
      <c r="I41" s="12">
        <f>SUM(テーブル17[[#This Row],[ケアレスミス]:[解釈]])</f>
        <v>0</v>
      </c>
      <c r="J41" s="14">
        <v>0</v>
      </c>
    </row>
    <row r="42" spans="1:10" x14ac:dyDescent="0.55000000000000004">
      <c r="A42" s="7" t="s">
        <v>59</v>
      </c>
      <c r="B42" s="7"/>
      <c r="C42" s="8" t="s">
        <v>18</v>
      </c>
      <c r="D42" s="9" t="s">
        <v>54</v>
      </c>
      <c r="E42" s="14">
        <v>5</v>
      </c>
      <c r="F42" s="14">
        <v>1</v>
      </c>
      <c r="G42" s="12">
        <v>0</v>
      </c>
      <c r="H42" s="11">
        <v>0</v>
      </c>
      <c r="I42" s="12">
        <f>SUM(テーブル17[[#This Row],[ケアレスミス]:[解釈]])</f>
        <v>6</v>
      </c>
      <c r="J42" s="14">
        <v>0</v>
      </c>
    </row>
    <row r="43" spans="1:10" x14ac:dyDescent="0.55000000000000004">
      <c r="A43" s="7" t="s">
        <v>60</v>
      </c>
      <c r="B43" s="7"/>
      <c r="C43" s="18" t="s">
        <v>12</v>
      </c>
      <c r="D43" s="9" t="s">
        <v>54</v>
      </c>
      <c r="E43" s="14">
        <v>2</v>
      </c>
      <c r="F43" s="14">
        <v>0</v>
      </c>
      <c r="G43" s="12">
        <v>0</v>
      </c>
      <c r="H43" s="12">
        <v>0</v>
      </c>
      <c r="I43" s="12">
        <f>SUM(テーブル17[[#This Row],[ケアレスミス]:[解釈]])</f>
        <v>2</v>
      </c>
      <c r="J43" s="14">
        <v>0</v>
      </c>
    </row>
    <row r="44" spans="1:10" x14ac:dyDescent="0.55000000000000004">
      <c r="A44" s="7" t="s">
        <v>61</v>
      </c>
      <c r="B44" s="7"/>
      <c r="C44" s="18" t="s">
        <v>15</v>
      </c>
      <c r="D44" s="9" t="s">
        <v>37</v>
      </c>
      <c r="E44" s="14">
        <v>1</v>
      </c>
      <c r="F44" s="14">
        <v>0</v>
      </c>
      <c r="G44" s="12">
        <v>0</v>
      </c>
      <c r="H44" s="12">
        <v>0</v>
      </c>
      <c r="I44" s="12">
        <f>SUM(テーブル17[[#This Row],[ケアレスミス]:[解釈]])</f>
        <v>1</v>
      </c>
      <c r="J44" s="14">
        <v>0</v>
      </c>
    </row>
    <row r="45" spans="1:10" x14ac:dyDescent="0.55000000000000004">
      <c r="A45" s="7" t="s">
        <v>62</v>
      </c>
      <c r="B45" s="7"/>
      <c r="C45" s="18" t="s">
        <v>18</v>
      </c>
      <c r="D45" s="9" t="s">
        <v>19</v>
      </c>
      <c r="E45" s="14">
        <v>2</v>
      </c>
      <c r="F45" s="14">
        <v>0</v>
      </c>
      <c r="G45" s="12">
        <v>0</v>
      </c>
      <c r="H45" s="12">
        <v>0</v>
      </c>
      <c r="I45" s="12">
        <f>SUM(テーブル17[[#This Row],[ケアレスミス]:[解釈]])</f>
        <v>2</v>
      </c>
      <c r="J45" s="16">
        <v>0</v>
      </c>
    </row>
    <row r="46" spans="1:10" x14ac:dyDescent="0.55000000000000004">
      <c r="A46" s="7" t="s">
        <v>63</v>
      </c>
      <c r="B46" s="7"/>
      <c r="C46" s="18" t="s">
        <v>12</v>
      </c>
      <c r="D46" s="9" t="s">
        <v>54</v>
      </c>
      <c r="E46" s="14">
        <v>0</v>
      </c>
      <c r="F46" s="14">
        <v>0</v>
      </c>
      <c r="G46" s="12">
        <v>0</v>
      </c>
      <c r="H46" s="12">
        <v>0</v>
      </c>
      <c r="I46" s="12">
        <f>SUM(テーブル17[[#This Row],[ケアレスミス]:[解釈]])</f>
        <v>0</v>
      </c>
      <c r="J46" s="14">
        <v>0</v>
      </c>
    </row>
    <row r="47" spans="1:10" x14ac:dyDescent="0.55000000000000004">
      <c r="A47" s="7" t="s">
        <v>64</v>
      </c>
      <c r="B47" s="7"/>
      <c r="C47" s="18" t="s">
        <v>15</v>
      </c>
      <c r="D47" s="9" t="s">
        <v>65</v>
      </c>
      <c r="E47" s="14">
        <v>1</v>
      </c>
      <c r="F47" s="14">
        <v>0</v>
      </c>
      <c r="G47" s="12">
        <v>0</v>
      </c>
      <c r="H47" s="12">
        <v>0</v>
      </c>
      <c r="I47" s="12">
        <f>SUM(テーブル17[[#This Row],[ケアレスミス]:[解釈]])</f>
        <v>1</v>
      </c>
      <c r="J47" s="14">
        <v>0</v>
      </c>
    </row>
    <row r="48" spans="1:10" x14ac:dyDescent="0.55000000000000004">
      <c r="A48" s="7" t="s">
        <v>66</v>
      </c>
      <c r="B48" s="7"/>
      <c r="C48" s="18" t="s">
        <v>18</v>
      </c>
      <c r="D48" s="9" t="s">
        <v>65</v>
      </c>
      <c r="E48" s="14">
        <v>1</v>
      </c>
      <c r="F48" s="14">
        <v>0</v>
      </c>
      <c r="G48" s="12">
        <v>0</v>
      </c>
      <c r="H48" s="12">
        <v>0</v>
      </c>
      <c r="I48" s="12">
        <f>SUM(テーブル17[[#This Row],[ケアレスミス]:[解釈]])</f>
        <v>1</v>
      </c>
      <c r="J48" s="14">
        <v>0</v>
      </c>
    </row>
    <row r="49" spans="1:10" x14ac:dyDescent="0.55000000000000004">
      <c r="A49" s="7" t="s">
        <v>67</v>
      </c>
      <c r="B49" s="7"/>
      <c r="C49" s="18" t="s">
        <v>12</v>
      </c>
      <c r="D49" s="9" t="s">
        <v>54</v>
      </c>
      <c r="E49" s="14">
        <v>0</v>
      </c>
      <c r="F49" s="14">
        <v>0</v>
      </c>
      <c r="G49" s="12">
        <v>0</v>
      </c>
      <c r="H49" s="12">
        <v>0</v>
      </c>
      <c r="I49" s="12">
        <f>SUM(テーブル17[[#This Row],[ケアレスミス]:[解釈]])</f>
        <v>0</v>
      </c>
      <c r="J49" s="14">
        <v>0</v>
      </c>
    </row>
    <row r="50" spans="1:10" x14ac:dyDescent="0.55000000000000004">
      <c r="A50" s="7" t="s">
        <v>68</v>
      </c>
      <c r="B50" s="7"/>
      <c r="C50" s="18" t="s">
        <v>15</v>
      </c>
      <c r="D50" s="9" t="s">
        <v>65</v>
      </c>
      <c r="E50" s="14">
        <v>0</v>
      </c>
      <c r="F50" s="14">
        <v>0</v>
      </c>
      <c r="G50" s="12">
        <v>0</v>
      </c>
      <c r="H50" s="12">
        <v>0</v>
      </c>
      <c r="I50" s="12">
        <f>SUM(テーブル17[[#This Row],[ケアレスミス]:[解釈]])</f>
        <v>0</v>
      </c>
      <c r="J50" s="14">
        <v>0</v>
      </c>
    </row>
    <row r="51" spans="1:10" x14ac:dyDescent="0.55000000000000004">
      <c r="A51" s="7" t="s">
        <v>69</v>
      </c>
      <c r="B51" s="7"/>
      <c r="C51" s="18" t="s">
        <v>18</v>
      </c>
      <c r="D51" s="9" t="s">
        <v>37</v>
      </c>
      <c r="E51" s="14">
        <v>9</v>
      </c>
      <c r="F51" s="14">
        <v>0</v>
      </c>
      <c r="G51" s="12">
        <v>0</v>
      </c>
      <c r="H51" s="12">
        <v>0</v>
      </c>
      <c r="I51" s="12">
        <f>SUM(テーブル17[[#This Row],[ケアレスミス]:[解釈]])</f>
        <v>9</v>
      </c>
      <c r="J51" s="14">
        <v>0</v>
      </c>
    </row>
    <row r="52" spans="1:10" x14ac:dyDescent="0.55000000000000004">
      <c r="A52" s="7" t="s">
        <v>70</v>
      </c>
      <c r="B52" s="7"/>
      <c r="C52" s="18" t="s">
        <v>12</v>
      </c>
      <c r="D52" s="9" t="s">
        <v>65</v>
      </c>
      <c r="E52" s="14">
        <v>0</v>
      </c>
      <c r="F52" s="14">
        <v>0</v>
      </c>
      <c r="G52" s="12">
        <v>0</v>
      </c>
      <c r="H52" s="12">
        <v>0</v>
      </c>
      <c r="I52" s="12">
        <f>SUM(テーブル17[[#This Row],[ケアレスミス]:[解釈]])</f>
        <v>0</v>
      </c>
      <c r="J52" s="14">
        <v>0</v>
      </c>
    </row>
    <row r="53" spans="1:10" x14ac:dyDescent="0.55000000000000004">
      <c r="A53" s="7" t="s">
        <v>71</v>
      </c>
      <c r="B53" s="7"/>
      <c r="C53" s="18" t="s">
        <v>15</v>
      </c>
      <c r="D53" s="9" t="s">
        <v>37</v>
      </c>
      <c r="E53" s="14">
        <v>2</v>
      </c>
      <c r="F53" s="14">
        <v>0</v>
      </c>
      <c r="G53" s="12">
        <v>0</v>
      </c>
      <c r="H53" s="12">
        <v>0</v>
      </c>
      <c r="I53" s="12">
        <f>SUM(テーブル17[[#This Row],[ケアレスミス]:[解釈]])</f>
        <v>2</v>
      </c>
      <c r="J53" s="14">
        <v>0</v>
      </c>
    </row>
    <row r="54" spans="1:10" x14ac:dyDescent="0.55000000000000004">
      <c r="A54" s="7" t="s">
        <v>72</v>
      </c>
      <c r="B54" s="7"/>
      <c r="C54" s="18" t="s">
        <v>18</v>
      </c>
      <c r="D54" s="9" t="s">
        <v>19</v>
      </c>
      <c r="E54" s="14">
        <v>0</v>
      </c>
      <c r="F54" s="14">
        <v>0</v>
      </c>
      <c r="G54" s="12">
        <v>0</v>
      </c>
      <c r="H54" s="12">
        <v>0</v>
      </c>
      <c r="I54" s="12">
        <f>SUM(テーブル17[[#This Row],[ケアレスミス]:[解釈]])</f>
        <v>0</v>
      </c>
      <c r="J54" s="14">
        <v>0</v>
      </c>
    </row>
    <row r="55" spans="1:10" x14ac:dyDescent="0.55000000000000004">
      <c r="A55" s="7" t="s">
        <v>73</v>
      </c>
      <c r="B55" s="7"/>
      <c r="C55" s="18" t="s">
        <v>12</v>
      </c>
      <c r="D55" s="9" t="s">
        <v>19</v>
      </c>
      <c r="E55" s="14">
        <v>2</v>
      </c>
      <c r="F55" s="14">
        <v>0</v>
      </c>
      <c r="G55" s="12">
        <v>0</v>
      </c>
      <c r="H55" s="12">
        <v>0</v>
      </c>
      <c r="I55" s="12">
        <f>SUM(テーブル17[[#This Row],[ケアレスミス]:[解釈]])</f>
        <v>2</v>
      </c>
      <c r="J55" s="14">
        <v>0</v>
      </c>
    </row>
    <row r="56" spans="1:10" x14ac:dyDescent="0.55000000000000004">
      <c r="A56" s="7" t="s">
        <v>74</v>
      </c>
      <c r="B56" s="7"/>
      <c r="C56" s="18" t="s">
        <v>15</v>
      </c>
      <c r="D56" s="9" t="s">
        <v>37</v>
      </c>
      <c r="E56" s="14">
        <v>1</v>
      </c>
      <c r="F56" s="14">
        <v>0</v>
      </c>
      <c r="G56" s="12">
        <v>0</v>
      </c>
      <c r="H56" s="12">
        <v>0</v>
      </c>
      <c r="I56" s="12">
        <f>SUM(テーブル17[[#This Row],[ケアレスミス]:[解釈]])</f>
        <v>1</v>
      </c>
      <c r="J56" s="14">
        <v>0</v>
      </c>
    </row>
    <row r="57" spans="1:10" x14ac:dyDescent="0.55000000000000004">
      <c r="A57" s="19" t="s">
        <v>75</v>
      </c>
      <c r="B57" s="19"/>
      <c r="C57" s="18" t="s">
        <v>18</v>
      </c>
      <c r="D57" s="9" t="s">
        <v>16</v>
      </c>
      <c r="E57" s="14">
        <v>1</v>
      </c>
      <c r="F57" s="14">
        <v>0</v>
      </c>
      <c r="G57" s="12">
        <v>0</v>
      </c>
      <c r="H57" s="12">
        <v>1</v>
      </c>
      <c r="I57" s="12">
        <f>SUM(テーブル17[[#This Row],[ケアレスミス]:[解釈]])</f>
        <v>1</v>
      </c>
      <c r="J57" s="14">
        <v>0</v>
      </c>
    </row>
    <row r="58" spans="1:10" x14ac:dyDescent="0.55000000000000004">
      <c r="A58" s="19" t="s">
        <v>76</v>
      </c>
      <c r="B58" s="19"/>
      <c r="C58" s="18" t="s">
        <v>12</v>
      </c>
      <c r="D58" s="9" t="s">
        <v>37</v>
      </c>
      <c r="E58" s="14">
        <v>0</v>
      </c>
      <c r="F58" s="14">
        <v>0</v>
      </c>
      <c r="G58" s="12">
        <v>0</v>
      </c>
      <c r="H58" s="12">
        <v>0</v>
      </c>
      <c r="I58" s="12">
        <f>SUM(テーブル17[[#This Row],[ケアレスミス]:[解釈]])</f>
        <v>0</v>
      </c>
      <c r="J58" s="14">
        <v>0</v>
      </c>
    </row>
    <row r="59" spans="1:10" x14ac:dyDescent="0.55000000000000004">
      <c r="A59" s="20" t="s">
        <v>77</v>
      </c>
      <c r="B59" s="20"/>
      <c r="C59" s="21" t="s">
        <v>15</v>
      </c>
      <c r="D59" s="15" t="s">
        <v>16</v>
      </c>
      <c r="E59" s="16">
        <v>0</v>
      </c>
      <c r="F59" s="16">
        <v>0</v>
      </c>
      <c r="G59" s="17">
        <v>0</v>
      </c>
      <c r="H59" s="17">
        <v>1</v>
      </c>
      <c r="I59" s="17">
        <f>SUM(テーブル17[[#This Row],[ケアレスミス]:[解釈]])</f>
        <v>0</v>
      </c>
      <c r="J59" s="16">
        <v>0</v>
      </c>
    </row>
    <row r="60" spans="1:10" x14ac:dyDescent="0.55000000000000004">
      <c r="A60" s="19" t="s">
        <v>78</v>
      </c>
      <c r="B60" s="19"/>
      <c r="C60" s="18" t="s">
        <v>18</v>
      </c>
      <c r="D60" s="9" t="s">
        <v>54</v>
      </c>
      <c r="E60" s="14">
        <v>1</v>
      </c>
      <c r="F60" s="14">
        <v>0</v>
      </c>
      <c r="G60" s="12">
        <v>0</v>
      </c>
      <c r="H60" s="12">
        <v>0</v>
      </c>
      <c r="I60" s="12">
        <f>SUM(テーブル17[[#This Row],[ケアレスミス]:[解釈]])</f>
        <v>1</v>
      </c>
      <c r="J60" s="14">
        <v>1</v>
      </c>
    </row>
    <row r="61" spans="1:10" x14ac:dyDescent="0.55000000000000004">
      <c r="A61" s="19" t="s">
        <v>79</v>
      </c>
      <c r="B61" s="19"/>
      <c r="C61" s="18" t="s">
        <v>12</v>
      </c>
      <c r="D61" s="9" t="s">
        <v>80</v>
      </c>
      <c r="E61" s="14">
        <v>1</v>
      </c>
      <c r="F61" s="14">
        <v>0</v>
      </c>
      <c r="G61" s="12">
        <v>0</v>
      </c>
      <c r="H61" s="12">
        <v>0</v>
      </c>
      <c r="I61" s="12">
        <f>SUM(テーブル17[[#This Row],[ケアレスミス]:[解釈]])</f>
        <v>1</v>
      </c>
      <c r="J61" s="14">
        <v>0</v>
      </c>
    </row>
    <row r="62" spans="1:10" x14ac:dyDescent="0.55000000000000004">
      <c r="A62" s="19" t="s">
        <v>81</v>
      </c>
      <c r="B62" s="19"/>
      <c r="C62" s="18" t="s">
        <v>15</v>
      </c>
      <c r="D62" s="9" t="s">
        <v>19</v>
      </c>
      <c r="E62" s="14">
        <v>0</v>
      </c>
      <c r="F62" s="14">
        <v>1</v>
      </c>
      <c r="G62" s="12">
        <v>0</v>
      </c>
      <c r="H62" s="12">
        <v>0</v>
      </c>
      <c r="I62" s="12">
        <f>SUM(テーブル17[[#This Row],[ケアレスミス]:[解釈]])</f>
        <v>1</v>
      </c>
      <c r="J62" s="14">
        <v>1</v>
      </c>
    </row>
    <row r="63" spans="1:10" x14ac:dyDescent="0.55000000000000004">
      <c r="A63" s="19" t="s">
        <v>82</v>
      </c>
      <c r="B63" s="19"/>
      <c r="C63" s="18" t="s">
        <v>18</v>
      </c>
      <c r="D63" s="9" t="s">
        <v>16</v>
      </c>
      <c r="E63" s="14">
        <v>3</v>
      </c>
      <c r="F63" s="14">
        <v>0</v>
      </c>
      <c r="G63" s="12">
        <v>0</v>
      </c>
      <c r="H63" s="12">
        <v>0</v>
      </c>
      <c r="I63" s="12">
        <f>SUM(テーブル17[[#This Row],[ケアレスミス]:[解釈]])</f>
        <v>3</v>
      </c>
      <c r="J63" s="14">
        <v>2</v>
      </c>
    </row>
    <row r="64" spans="1:10" x14ac:dyDescent="0.55000000000000004">
      <c r="A64" s="19" t="s">
        <v>83</v>
      </c>
      <c r="B64" s="19"/>
      <c r="C64" s="18" t="s">
        <v>12</v>
      </c>
      <c r="D64" s="9" t="s">
        <v>37</v>
      </c>
      <c r="E64" s="14">
        <v>0</v>
      </c>
      <c r="F64" s="14">
        <v>0</v>
      </c>
      <c r="G64" s="12">
        <v>0</v>
      </c>
      <c r="H64" s="12">
        <v>0</v>
      </c>
      <c r="I64" s="12">
        <f>SUM(テーブル17[[#This Row],[ケアレスミス]:[解釈]])</f>
        <v>0</v>
      </c>
      <c r="J64" s="14">
        <v>0</v>
      </c>
    </row>
    <row r="65" spans="1:10" x14ac:dyDescent="0.55000000000000004">
      <c r="A65" s="19" t="s">
        <v>84</v>
      </c>
      <c r="B65" s="19"/>
      <c r="C65" s="18" t="s">
        <v>15</v>
      </c>
      <c r="D65" s="9" t="s">
        <v>80</v>
      </c>
      <c r="E65" s="14">
        <v>3</v>
      </c>
      <c r="F65" s="14">
        <v>0</v>
      </c>
      <c r="G65" s="12">
        <v>0</v>
      </c>
      <c r="H65" s="12">
        <v>2</v>
      </c>
      <c r="I65" s="12">
        <f>SUM(テーブル17[[#This Row],[ケアレスミス]:[解釈]])</f>
        <v>3</v>
      </c>
      <c r="J65" s="14">
        <v>2</v>
      </c>
    </row>
    <row r="66" spans="1:10" x14ac:dyDescent="0.55000000000000004">
      <c r="A66" s="19" t="s">
        <v>85</v>
      </c>
      <c r="B66" s="19"/>
      <c r="C66" s="18" t="s">
        <v>18</v>
      </c>
      <c r="D66" s="9" t="s">
        <v>19</v>
      </c>
      <c r="E66" s="14">
        <v>1</v>
      </c>
      <c r="F66" s="14">
        <v>0</v>
      </c>
      <c r="G66" s="12">
        <v>0</v>
      </c>
      <c r="H66" s="12">
        <v>0</v>
      </c>
      <c r="I66" s="12">
        <f>SUM(テーブル17[[#This Row],[ケアレスミス]:[解釈]])</f>
        <v>1</v>
      </c>
      <c r="J66" s="14">
        <v>0</v>
      </c>
    </row>
    <row r="67" spans="1:10" x14ac:dyDescent="0.55000000000000004">
      <c r="A67" s="19" t="s">
        <v>86</v>
      </c>
      <c r="B67" s="19"/>
      <c r="C67" s="18" t="s">
        <v>12</v>
      </c>
      <c r="D67" s="9" t="s">
        <v>54</v>
      </c>
      <c r="E67" s="14">
        <v>0</v>
      </c>
      <c r="F67" s="14">
        <v>0</v>
      </c>
      <c r="G67" s="12">
        <v>0</v>
      </c>
      <c r="H67" s="12">
        <v>0</v>
      </c>
      <c r="I67" s="12">
        <f>SUM(テーブル17[[#This Row],[ケアレスミス]:[解釈]])</f>
        <v>0</v>
      </c>
      <c r="J67" s="14">
        <v>0</v>
      </c>
    </row>
    <row r="68" spans="1:10" x14ac:dyDescent="0.55000000000000004">
      <c r="A68" s="19" t="s">
        <v>87</v>
      </c>
      <c r="B68" s="19"/>
      <c r="C68" s="18" t="s">
        <v>15</v>
      </c>
      <c r="D68" s="9" t="s">
        <v>19</v>
      </c>
      <c r="E68" s="14">
        <v>2</v>
      </c>
      <c r="F68" s="14">
        <v>0</v>
      </c>
      <c r="G68" s="12">
        <v>0</v>
      </c>
      <c r="H68" s="12">
        <v>0</v>
      </c>
      <c r="I68" s="12">
        <f>SUM(テーブル17[[#This Row],[ケアレスミス]:[解釈]])</f>
        <v>2</v>
      </c>
      <c r="J68" s="14">
        <v>2</v>
      </c>
    </row>
    <row r="69" spans="1:10" x14ac:dyDescent="0.55000000000000004">
      <c r="A69" s="20" t="s">
        <v>88</v>
      </c>
      <c r="B69" s="20"/>
      <c r="C69" s="21" t="s">
        <v>18</v>
      </c>
      <c r="D69" s="15" t="s">
        <v>80</v>
      </c>
      <c r="E69" s="16">
        <v>5</v>
      </c>
      <c r="F69" s="16">
        <v>0</v>
      </c>
      <c r="G69" s="17">
        <v>1</v>
      </c>
      <c r="H69" s="17">
        <v>0</v>
      </c>
      <c r="I69" s="17">
        <f>SUM(テーブル17[[#This Row],[ケアレスミス]:[解釈]])</f>
        <v>5</v>
      </c>
      <c r="J69" s="16">
        <v>2</v>
      </c>
    </row>
    <row r="70" spans="1:10" x14ac:dyDescent="0.55000000000000004">
      <c r="A70" s="19" t="s">
        <v>89</v>
      </c>
      <c r="B70" s="19"/>
      <c r="C70" s="18" t="s">
        <v>12</v>
      </c>
      <c r="D70" s="9" t="s">
        <v>80</v>
      </c>
      <c r="E70" s="14">
        <v>0</v>
      </c>
      <c r="F70" s="14">
        <v>0</v>
      </c>
      <c r="G70" s="12">
        <v>0</v>
      </c>
      <c r="H70" s="12">
        <v>0</v>
      </c>
      <c r="I70" s="12">
        <f>SUM(テーブル17[[#This Row],[ケアレスミス]:[解釈]])</f>
        <v>0</v>
      </c>
      <c r="J70" s="14">
        <v>0</v>
      </c>
    </row>
    <row r="71" spans="1:10" x14ac:dyDescent="0.55000000000000004">
      <c r="A71" s="19" t="s">
        <v>90</v>
      </c>
      <c r="B71" s="19"/>
      <c r="C71" s="18" t="s">
        <v>15</v>
      </c>
      <c r="D71" s="9" t="s">
        <v>16</v>
      </c>
      <c r="E71" s="14">
        <v>2</v>
      </c>
      <c r="F71" s="14">
        <v>0</v>
      </c>
      <c r="G71" s="12">
        <v>0</v>
      </c>
      <c r="H71" s="12">
        <v>0</v>
      </c>
      <c r="I71" s="12">
        <f>SUM(テーブル17[[#This Row],[ケアレスミス]:[解釈]])</f>
        <v>2</v>
      </c>
      <c r="J71" s="14">
        <v>2</v>
      </c>
    </row>
    <row r="72" spans="1:10" x14ac:dyDescent="0.55000000000000004">
      <c r="A72" s="19" t="s">
        <v>91</v>
      </c>
      <c r="B72" s="19"/>
      <c r="C72" s="18" t="s">
        <v>18</v>
      </c>
      <c r="D72" s="9" t="s">
        <v>54</v>
      </c>
      <c r="E72" s="14">
        <v>0</v>
      </c>
      <c r="F72" s="14">
        <v>0</v>
      </c>
      <c r="G72" s="12">
        <v>0</v>
      </c>
      <c r="H72" s="12">
        <v>0</v>
      </c>
      <c r="I72" s="12">
        <f>SUM(テーブル17[[#This Row],[ケアレスミス]:[解釈]])</f>
        <v>0</v>
      </c>
      <c r="J72" s="14">
        <v>0</v>
      </c>
    </row>
    <row r="73" spans="1:10" x14ac:dyDescent="0.55000000000000004">
      <c r="A73" s="19" t="s">
        <v>92</v>
      </c>
      <c r="B73" s="19"/>
      <c r="C73" s="18" t="s">
        <v>12</v>
      </c>
      <c r="D73" s="9" t="s">
        <v>37</v>
      </c>
      <c r="E73" s="14">
        <v>2</v>
      </c>
      <c r="F73" s="14">
        <v>0</v>
      </c>
      <c r="G73" s="12">
        <v>0</v>
      </c>
      <c r="H73" s="12">
        <v>0</v>
      </c>
      <c r="I73" s="12">
        <f>SUM(テーブル17[[#This Row],[ケアレスミス]:[解釈]])</f>
        <v>2</v>
      </c>
      <c r="J73" s="14">
        <v>0</v>
      </c>
    </row>
    <row r="74" spans="1:10" x14ac:dyDescent="0.55000000000000004">
      <c r="A74" s="19" t="s">
        <v>93</v>
      </c>
      <c r="B74" s="20"/>
      <c r="C74" s="18" t="s">
        <v>15</v>
      </c>
      <c r="D74" s="9" t="s">
        <v>80</v>
      </c>
      <c r="E74" s="14">
        <v>0</v>
      </c>
      <c r="F74" s="14">
        <v>0</v>
      </c>
      <c r="G74" s="12">
        <v>0</v>
      </c>
      <c r="H74" s="12">
        <v>0</v>
      </c>
      <c r="I74" s="12">
        <f>SUM(テーブル17[[#This Row],[ケアレスミス]:[解釈]])</f>
        <v>0</v>
      </c>
      <c r="J74" s="14">
        <v>0</v>
      </c>
    </row>
    <row r="75" spans="1:10" x14ac:dyDescent="0.55000000000000004">
      <c r="A75" s="19" t="s">
        <v>94</v>
      </c>
      <c r="B75" s="19"/>
      <c r="C75" s="18" t="s">
        <v>18</v>
      </c>
      <c r="D75" s="9" t="s">
        <v>16</v>
      </c>
      <c r="E75" s="14">
        <v>2</v>
      </c>
      <c r="F75" s="14">
        <v>1</v>
      </c>
      <c r="G75" s="12">
        <v>0</v>
      </c>
      <c r="H75" s="12">
        <v>0</v>
      </c>
      <c r="I75" s="12">
        <f>SUM(テーブル17[[#This Row],[ケアレスミス]:[解釈]])</f>
        <v>3</v>
      </c>
      <c r="J75" s="14">
        <v>2</v>
      </c>
    </row>
    <row r="76" spans="1:10" x14ac:dyDescent="0.55000000000000004">
      <c r="A76" s="19" t="s">
        <v>95</v>
      </c>
      <c r="B76" s="19">
        <v>45550</v>
      </c>
      <c r="C76" s="18" t="s">
        <v>12</v>
      </c>
      <c r="D76" s="9" t="s">
        <v>16</v>
      </c>
      <c r="E76" s="14">
        <v>0</v>
      </c>
      <c r="F76" s="14">
        <v>0</v>
      </c>
      <c r="G76" s="12">
        <v>0</v>
      </c>
      <c r="H76" s="12">
        <v>0</v>
      </c>
      <c r="I76" s="12">
        <f>SUM(テーブル17[[#This Row],[ケアレスミス]:[解釈]])</f>
        <v>0</v>
      </c>
      <c r="J76" s="14">
        <v>0</v>
      </c>
    </row>
    <row r="77" spans="1:10" x14ac:dyDescent="0.55000000000000004">
      <c r="A77" s="19" t="s">
        <v>96</v>
      </c>
      <c r="B77" s="19">
        <v>45550</v>
      </c>
      <c r="C77" s="18" t="s">
        <v>15</v>
      </c>
      <c r="D77" s="9" t="s">
        <v>37</v>
      </c>
      <c r="E77" s="14">
        <v>2</v>
      </c>
      <c r="F77" s="14">
        <v>0</v>
      </c>
      <c r="G77" s="12">
        <v>0</v>
      </c>
      <c r="H77" s="12">
        <v>0</v>
      </c>
      <c r="I77" s="12">
        <f>SUM(テーブル17[[#This Row],[ケアレスミス]:[解釈]])</f>
        <v>2</v>
      </c>
      <c r="J77" s="14">
        <v>0</v>
      </c>
    </row>
    <row r="78" spans="1:10" x14ac:dyDescent="0.55000000000000004">
      <c r="A78" s="19" t="s">
        <v>97</v>
      </c>
      <c r="B78" s="19">
        <v>45550</v>
      </c>
      <c r="C78" s="18" t="s">
        <v>18</v>
      </c>
      <c r="D78" s="9" t="s">
        <v>19</v>
      </c>
      <c r="E78" s="14">
        <v>2</v>
      </c>
      <c r="F78" s="14">
        <v>0</v>
      </c>
      <c r="G78" s="12">
        <v>0</v>
      </c>
      <c r="H78" s="12">
        <v>0</v>
      </c>
      <c r="I78" s="12">
        <f>SUM(テーブル17[[#This Row],[ケアレスミス]:[解釈]])</f>
        <v>2</v>
      </c>
      <c r="J78" s="14">
        <v>0</v>
      </c>
    </row>
    <row r="79" spans="1:10" x14ac:dyDescent="0.55000000000000004">
      <c r="A79" s="19" t="s">
        <v>98</v>
      </c>
      <c r="B79" s="19">
        <v>45565</v>
      </c>
      <c r="C79" s="18" t="s">
        <v>12</v>
      </c>
      <c r="D79" s="9" t="s">
        <v>80</v>
      </c>
      <c r="E79" s="14">
        <v>2</v>
      </c>
      <c r="F79" s="14">
        <v>0</v>
      </c>
      <c r="G79" s="12">
        <v>0</v>
      </c>
      <c r="H79" s="12">
        <v>0</v>
      </c>
      <c r="I79" s="12">
        <f>SUM(テーブル17[[#This Row],[ケアレスミス]:[解釈]])</f>
        <v>2</v>
      </c>
      <c r="J79" s="14">
        <v>0</v>
      </c>
    </row>
    <row r="80" spans="1:10" x14ac:dyDescent="0.55000000000000004">
      <c r="A80" s="20" t="s">
        <v>99</v>
      </c>
      <c r="B80" s="20">
        <v>45565</v>
      </c>
      <c r="C80" s="21" t="s">
        <v>15</v>
      </c>
      <c r="D80" s="15" t="s">
        <v>54</v>
      </c>
      <c r="E80" s="16">
        <v>0</v>
      </c>
      <c r="F80" s="16">
        <v>0</v>
      </c>
      <c r="G80" s="17">
        <v>0</v>
      </c>
      <c r="H80" s="17">
        <v>0</v>
      </c>
      <c r="I80" s="17">
        <f>SUM(テーブル17[[#This Row],[ケアレスミス]:[解釈]])</f>
        <v>0</v>
      </c>
      <c r="J80" s="16">
        <v>0</v>
      </c>
    </row>
    <row r="81" spans="1:10" x14ac:dyDescent="0.55000000000000004">
      <c r="A81" s="19" t="s">
        <v>100</v>
      </c>
      <c r="B81" s="19">
        <v>45565</v>
      </c>
      <c r="C81" s="18" t="s">
        <v>18</v>
      </c>
      <c r="D81" s="9" t="s">
        <v>37</v>
      </c>
      <c r="E81" s="14">
        <v>5</v>
      </c>
      <c r="F81" s="14">
        <v>0</v>
      </c>
      <c r="G81" s="12">
        <v>2</v>
      </c>
      <c r="H81" s="12">
        <v>0</v>
      </c>
      <c r="I81" s="12">
        <f>SUM(テーブル17[[#This Row],[ケアレスミス]:[解釈]])</f>
        <v>5</v>
      </c>
      <c r="J81" s="14">
        <v>0</v>
      </c>
    </row>
    <row r="82" spans="1:10" x14ac:dyDescent="0.55000000000000004">
      <c r="A82" s="18"/>
      <c r="B82" s="18"/>
      <c r="C82" s="18"/>
      <c r="D82" s="9"/>
      <c r="E82" s="14"/>
      <c r="F82" s="14"/>
      <c r="G82" s="12"/>
      <c r="H82" s="12"/>
      <c r="I82" s="12">
        <f>SUM(テーブル17[[#This Row],[ケアレスミス]:[解釈]])</f>
        <v>0</v>
      </c>
      <c r="J82" s="14"/>
    </row>
    <row r="83" spans="1:10" x14ac:dyDescent="0.55000000000000004">
      <c r="A83" s="18"/>
      <c r="B83" s="18"/>
      <c r="C83" s="18"/>
      <c r="D83" s="9"/>
      <c r="E83" s="14"/>
      <c r="F83" s="14"/>
      <c r="G83" s="12"/>
      <c r="H83" s="12"/>
      <c r="I83" s="12">
        <f>SUM(テーブル17[[#This Row],[ケアレスミス]:[解釈]])</f>
        <v>0</v>
      </c>
      <c r="J83" s="14"/>
    </row>
    <row r="84" spans="1:10" x14ac:dyDescent="0.55000000000000004">
      <c r="A84" s="18"/>
      <c r="B84" s="18"/>
      <c r="C84" s="18"/>
      <c r="D84" s="9"/>
      <c r="E84" s="14"/>
      <c r="F84" s="14"/>
      <c r="G84" s="12"/>
      <c r="H84" s="12"/>
      <c r="I84" s="12">
        <f>SUM(テーブル17[[#This Row],[ケアレスミス]:[解釈]])</f>
        <v>0</v>
      </c>
      <c r="J84" s="14"/>
    </row>
    <row r="85" spans="1:10" x14ac:dyDescent="0.55000000000000004">
      <c r="A85" s="18"/>
      <c r="B85" s="18"/>
      <c r="C85" s="18"/>
      <c r="D85" s="9"/>
      <c r="E85" s="14"/>
      <c r="F85" s="14"/>
      <c r="G85" s="12"/>
      <c r="H85" s="12"/>
      <c r="I85" s="12">
        <f>SUM(テーブル17[[#This Row],[ケアレスミス]:[解釈]])</f>
        <v>0</v>
      </c>
      <c r="J85" s="14"/>
    </row>
    <row r="86" spans="1:10" x14ac:dyDescent="0.55000000000000004">
      <c r="A86" s="18"/>
      <c r="B86" s="18"/>
      <c r="C86" s="18"/>
      <c r="D86" s="9"/>
      <c r="E86" s="14"/>
      <c r="F86" s="14"/>
      <c r="G86" s="12"/>
      <c r="H86" s="12"/>
      <c r="I86" s="12">
        <f>SUM(テーブル17[[#This Row],[ケアレスミス]:[解釈]])</f>
        <v>0</v>
      </c>
      <c r="J86" s="14"/>
    </row>
    <row r="87" spans="1:10" x14ac:dyDescent="0.55000000000000004">
      <c r="A87" s="18"/>
      <c r="B87" s="18"/>
      <c r="C87" s="18"/>
      <c r="D87" s="9"/>
      <c r="E87" s="14"/>
      <c r="F87" s="14"/>
      <c r="G87" s="12"/>
      <c r="H87" s="12"/>
      <c r="I87" s="12">
        <f>SUM(テーブル17[[#This Row],[ケアレスミス]:[解釈]])</f>
        <v>0</v>
      </c>
      <c r="J87" s="14"/>
    </row>
    <row r="88" spans="1:10" x14ac:dyDescent="0.55000000000000004">
      <c r="A88" s="18"/>
      <c r="B88" s="18"/>
      <c r="C88" s="18"/>
      <c r="D88" s="9"/>
      <c r="E88" s="14"/>
      <c r="F88" s="14"/>
      <c r="G88" s="12"/>
      <c r="H88" s="12"/>
      <c r="I88" s="12">
        <f>SUM(テーブル17[[#This Row],[ケアレスミス]:[解釈]])</f>
        <v>0</v>
      </c>
      <c r="J88" s="14"/>
    </row>
    <row r="89" spans="1:10" x14ac:dyDescent="0.55000000000000004">
      <c r="A89" s="18"/>
      <c r="B89" s="18"/>
      <c r="C89" s="18"/>
      <c r="D89" s="9"/>
      <c r="E89" s="14"/>
      <c r="F89" s="14"/>
      <c r="G89" s="12"/>
      <c r="H89" s="12"/>
      <c r="I89" s="12">
        <f>SUM(テーブル17[[#This Row],[ケアレスミス]:[解釈]])</f>
        <v>0</v>
      </c>
      <c r="J89" s="14"/>
    </row>
    <row r="90" spans="1:10" x14ac:dyDescent="0.55000000000000004">
      <c r="A90" s="18"/>
      <c r="B90" s="18"/>
      <c r="C90" s="18"/>
      <c r="D90" s="9"/>
      <c r="E90" s="14"/>
      <c r="F90" s="14"/>
      <c r="G90" s="12"/>
      <c r="H90" s="12"/>
      <c r="I90" s="12">
        <f>SUM(テーブル17[[#This Row],[ケアレスミス]:[解釈]])</f>
        <v>0</v>
      </c>
      <c r="J90" s="14"/>
    </row>
    <row r="91" spans="1:10" x14ac:dyDescent="0.55000000000000004">
      <c r="A91" s="18"/>
      <c r="B91" s="18"/>
      <c r="C91" s="18"/>
      <c r="D91" s="9"/>
      <c r="E91" s="14"/>
      <c r="F91" s="14"/>
      <c r="G91" s="12"/>
      <c r="H91" s="12"/>
      <c r="I91" s="12">
        <f>SUM(テーブル17[[#This Row],[ケアレスミス]:[解釈]])</f>
        <v>0</v>
      </c>
      <c r="J91" s="14"/>
    </row>
    <row r="92" spans="1:10" x14ac:dyDescent="0.55000000000000004">
      <c r="A92" s="18"/>
      <c r="B92" s="18"/>
      <c r="C92" s="18"/>
      <c r="D92" s="9"/>
      <c r="E92" s="14"/>
      <c r="F92" s="14"/>
      <c r="G92" s="12"/>
      <c r="H92" s="12"/>
      <c r="I92" s="12">
        <f>SUM(テーブル17[[#This Row],[ケアレスミス]:[解釈]])</f>
        <v>0</v>
      </c>
      <c r="J92" s="14"/>
    </row>
    <row r="93" spans="1:10" x14ac:dyDescent="0.55000000000000004">
      <c r="A93" s="18"/>
      <c r="B93" s="18"/>
      <c r="C93" s="18"/>
      <c r="D93" s="9"/>
      <c r="E93" s="14"/>
      <c r="F93" s="14"/>
      <c r="G93" s="12"/>
      <c r="H93" s="12"/>
      <c r="I93" s="12">
        <f>SUM(テーブル17[[#This Row],[ケアレスミス]:[解釈]])</f>
        <v>0</v>
      </c>
      <c r="J93" s="14"/>
    </row>
    <row r="94" spans="1:10" x14ac:dyDescent="0.55000000000000004">
      <c r="A94" s="18"/>
      <c r="B94" s="18"/>
      <c r="C94" s="18"/>
      <c r="D94" s="9"/>
      <c r="E94" s="14"/>
      <c r="F94" s="14"/>
      <c r="G94" s="12"/>
      <c r="H94" s="12"/>
      <c r="I94" s="12">
        <f>SUM(テーブル17[[#This Row],[ケアレスミス]:[解釈]])</f>
        <v>0</v>
      </c>
      <c r="J94" s="14"/>
    </row>
    <row r="95" spans="1:10" x14ac:dyDescent="0.55000000000000004">
      <c r="A95" s="18"/>
      <c r="B95" s="18"/>
      <c r="C95" s="18"/>
      <c r="D95" s="9"/>
      <c r="E95" s="14"/>
      <c r="F95" s="14"/>
      <c r="G95" s="12"/>
      <c r="H95" s="12"/>
      <c r="I95" s="12">
        <f>SUM(テーブル17[[#This Row],[ケアレスミス]:[解釈]])</f>
        <v>0</v>
      </c>
      <c r="J95" s="14"/>
    </row>
    <row r="96" spans="1:10" x14ac:dyDescent="0.55000000000000004">
      <c r="A96" s="18"/>
      <c r="B96" s="18"/>
      <c r="C96" s="18"/>
      <c r="D96" s="9"/>
      <c r="E96" s="14"/>
      <c r="F96" s="14"/>
      <c r="G96" s="12"/>
      <c r="H96" s="12"/>
      <c r="I96" s="12">
        <f>SUM(テーブル17[[#This Row],[ケアレスミス]:[解釈]])</f>
        <v>0</v>
      </c>
      <c r="J96" s="14"/>
    </row>
    <row r="97" spans="1:10" x14ac:dyDescent="0.55000000000000004">
      <c r="A97" s="18"/>
      <c r="B97" s="18"/>
      <c r="C97" s="18"/>
      <c r="D97" s="9"/>
      <c r="E97" s="14"/>
      <c r="F97" s="14"/>
      <c r="G97" s="12"/>
      <c r="H97" s="12"/>
      <c r="I97" s="12">
        <f>SUM(テーブル17[[#This Row],[ケアレスミス]:[解釈]])</f>
        <v>0</v>
      </c>
      <c r="J97" s="14"/>
    </row>
    <row r="98" spans="1:10" x14ac:dyDescent="0.55000000000000004">
      <c r="A98" s="18"/>
      <c r="B98" s="18"/>
      <c r="C98" s="18"/>
      <c r="D98" s="9"/>
      <c r="E98" s="14"/>
      <c r="F98" s="14"/>
      <c r="G98" s="12"/>
      <c r="H98" s="12"/>
      <c r="I98" s="12">
        <f>SUM(テーブル17[[#This Row],[ケアレスミス]:[解釈]])</f>
        <v>0</v>
      </c>
      <c r="J98" s="14"/>
    </row>
    <row r="99" spans="1:10" x14ac:dyDescent="0.55000000000000004">
      <c r="A99" s="21"/>
      <c r="B99" s="21"/>
      <c r="C99" s="21"/>
      <c r="D99" s="15"/>
      <c r="E99" s="16"/>
      <c r="F99" s="16"/>
      <c r="G99" s="17"/>
      <c r="H99" s="17"/>
      <c r="I99" s="17">
        <f>SUM(テーブル17[[#This Row],[ケアレスミス]:[解釈]])</f>
        <v>0</v>
      </c>
      <c r="J99" s="16"/>
    </row>
    <row r="100" spans="1:10" x14ac:dyDescent="0.55000000000000004">
      <c r="A100" s="22" t="s">
        <v>101</v>
      </c>
      <c r="B100" s="22"/>
      <c r="C100" s="22"/>
      <c r="D100" s="15"/>
      <c r="E100" s="16">
        <f>SUBTOTAL(109,テーブル17[ケアレスミス])</f>
        <v>114</v>
      </c>
      <c r="F100" s="16">
        <f>SUBTOTAL(109,テーブル17[解釈])</f>
        <v>5</v>
      </c>
      <c r="G100" s="16">
        <f>SUBTOTAL(109,テーブル17[マニュアル])</f>
        <v>3</v>
      </c>
      <c r="H100" s="16">
        <f>SUBTOTAL(109,テーブル17[その他])</f>
        <v>4</v>
      </c>
      <c r="I100" s="17">
        <f>SUBTOTAL(109,テーブル17[合計])</f>
        <v>119</v>
      </c>
      <c r="J100" s="16">
        <f>SUBTOTAL(109,テーブル17[インシデント])</f>
        <v>15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E2B9AD-3754-4335-81A8-0945D7844CBB}">
  <sheetPr codeName="Sheet2">
    <tabColor theme="7" tint="-0.249977111117893"/>
  </sheetPr>
  <dimension ref="B3:W170"/>
  <sheetViews>
    <sheetView topLeftCell="B9" workbookViewId="0">
      <selection activeCell="N11" sqref="N11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23" t="s">
        <v>102</v>
      </c>
    </row>
    <row r="6" spans="2:2" x14ac:dyDescent="0.55000000000000004">
      <c r="B6" s="24" t="s">
        <v>103</v>
      </c>
    </row>
    <row r="22" spans="2:18" x14ac:dyDescent="0.55000000000000004">
      <c r="C22" s="25"/>
    </row>
    <row r="27" spans="2:18" x14ac:dyDescent="0.55000000000000004">
      <c r="B27" s="14" t="s">
        <v>104</v>
      </c>
      <c r="C27" s="26">
        <v>45383</v>
      </c>
      <c r="D27" s="26">
        <v>45413</v>
      </c>
      <c r="E27" s="26">
        <v>45444</v>
      </c>
      <c r="F27" s="26">
        <v>45474</v>
      </c>
      <c r="G27" s="26">
        <v>45505</v>
      </c>
      <c r="H27" s="26">
        <v>45536</v>
      </c>
      <c r="I27" s="26">
        <v>45566</v>
      </c>
      <c r="J27" s="26">
        <v>45597</v>
      </c>
      <c r="K27" s="26">
        <v>45627</v>
      </c>
      <c r="L27" s="26">
        <v>45658</v>
      </c>
      <c r="M27" s="26">
        <v>45689</v>
      </c>
      <c r="N27" s="26">
        <v>45717</v>
      </c>
      <c r="O27" s="26">
        <v>45748</v>
      </c>
      <c r="P27" s="26">
        <v>45778</v>
      </c>
      <c r="Q27" s="26">
        <v>45809</v>
      </c>
      <c r="R27" s="26">
        <v>45839</v>
      </c>
    </row>
    <row r="28" spans="2:18" x14ac:dyDescent="0.55000000000000004">
      <c r="B28" s="14" t="s">
        <v>65</v>
      </c>
      <c r="C28" s="14">
        <v>0</v>
      </c>
      <c r="D28" s="14">
        <v>1</v>
      </c>
      <c r="E28" s="14">
        <v>3</v>
      </c>
      <c r="F28" s="14">
        <v>0</v>
      </c>
      <c r="G28" s="14">
        <v>4</v>
      </c>
      <c r="H28" s="14">
        <v>0</v>
      </c>
      <c r="I28" s="14"/>
      <c r="J28" s="14"/>
      <c r="K28" s="14"/>
      <c r="L28" s="14"/>
      <c r="M28" s="14"/>
      <c r="N28" s="14"/>
      <c r="O28" s="14"/>
      <c r="P28" s="14"/>
      <c r="Q28" s="14"/>
      <c r="R28" s="14"/>
    </row>
    <row r="29" spans="2:18" x14ac:dyDescent="0.55000000000000004">
      <c r="B29" s="14" t="s">
        <v>19</v>
      </c>
      <c r="C29" s="14">
        <v>0</v>
      </c>
      <c r="D29" s="14">
        <v>2</v>
      </c>
      <c r="E29" s="14">
        <v>0</v>
      </c>
      <c r="F29" s="14">
        <v>3</v>
      </c>
      <c r="G29" s="14">
        <v>0</v>
      </c>
      <c r="H29" s="14">
        <v>2</v>
      </c>
      <c r="I29" s="14"/>
      <c r="J29" s="14"/>
      <c r="K29" s="14"/>
      <c r="L29" s="14"/>
      <c r="M29" s="14"/>
      <c r="N29" s="14"/>
      <c r="O29" s="14"/>
      <c r="P29" s="14"/>
      <c r="Q29" s="14"/>
      <c r="R29" s="14"/>
    </row>
    <row r="30" spans="2:18" x14ac:dyDescent="0.55000000000000004">
      <c r="B30" s="14" t="s">
        <v>105</v>
      </c>
      <c r="C30" s="14">
        <v>9</v>
      </c>
      <c r="D30" s="14">
        <v>3</v>
      </c>
      <c r="E30" s="14">
        <v>0</v>
      </c>
      <c r="F30" s="14">
        <v>0</v>
      </c>
      <c r="G30" s="14">
        <v>2</v>
      </c>
      <c r="H30" s="14">
        <v>7</v>
      </c>
      <c r="I30" s="14"/>
      <c r="J30" s="14"/>
      <c r="K30" s="14"/>
      <c r="L30" s="14"/>
      <c r="M30" s="14"/>
      <c r="N30" s="14"/>
      <c r="O30" s="14"/>
      <c r="P30" s="14"/>
      <c r="Q30" s="14"/>
      <c r="R30" s="14"/>
    </row>
    <row r="31" spans="2:18" x14ac:dyDescent="0.55000000000000004">
      <c r="B31" s="14" t="s">
        <v>54</v>
      </c>
      <c r="C31" s="14">
        <v>1</v>
      </c>
      <c r="D31" s="14">
        <v>0</v>
      </c>
      <c r="E31" s="14">
        <v>1</v>
      </c>
      <c r="F31" s="14">
        <v>0</v>
      </c>
      <c r="G31" s="14">
        <v>0</v>
      </c>
      <c r="H31" s="14">
        <v>0</v>
      </c>
      <c r="I31" s="14"/>
      <c r="J31" s="14"/>
      <c r="K31" s="14"/>
      <c r="L31" s="14"/>
      <c r="M31" s="14"/>
      <c r="N31" s="14"/>
      <c r="O31" s="14"/>
      <c r="P31" s="14"/>
      <c r="Q31" s="14"/>
      <c r="R31" s="14"/>
    </row>
    <row r="32" spans="2:18" x14ac:dyDescent="0.55000000000000004">
      <c r="B32" s="14" t="s">
        <v>13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/>
      <c r="J32" s="14"/>
      <c r="K32" s="14"/>
      <c r="L32" s="14"/>
      <c r="M32" s="14"/>
      <c r="N32" s="14"/>
      <c r="O32" s="14"/>
      <c r="P32" s="14"/>
      <c r="Q32" s="14"/>
      <c r="R32" s="14"/>
    </row>
    <row r="33" spans="2:18" x14ac:dyDescent="0.55000000000000004">
      <c r="B33" s="14" t="s">
        <v>106</v>
      </c>
      <c r="C33" s="14">
        <v>0</v>
      </c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/>
      <c r="J33" s="14"/>
      <c r="K33" s="14"/>
      <c r="L33" s="14"/>
      <c r="M33" s="14"/>
      <c r="N33" s="14"/>
      <c r="O33" s="14"/>
      <c r="P33" s="14"/>
      <c r="Q33" s="14"/>
      <c r="R33" s="14"/>
    </row>
    <row r="34" spans="2:18" x14ac:dyDescent="0.55000000000000004">
      <c r="B34" s="14" t="s">
        <v>80</v>
      </c>
      <c r="C34" s="14">
        <v>0</v>
      </c>
      <c r="D34" s="14">
        <v>0</v>
      </c>
      <c r="E34" s="14">
        <v>1</v>
      </c>
      <c r="F34" s="14">
        <v>8</v>
      </c>
      <c r="G34" s="14">
        <v>0</v>
      </c>
      <c r="H34" s="14">
        <v>2</v>
      </c>
      <c r="I34" s="14"/>
      <c r="J34" s="14"/>
      <c r="K34" s="14"/>
      <c r="L34" s="14"/>
      <c r="M34" s="14"/>
      <c r="N34" s="14"/>
      <c r="O34" s="14"/>
      <c r="P34" s="14"/>
      <c r="Q34" s="14"/>
      <c r="R34" s="14"/>
    </row>
    <row r="35" spans="2:18" x14ac:dyDescent="0.55000000000000004">
      <c r="B35" s="14" t="s">
        <v>107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</row>
    <row r="40" spans="2:18" x14ac:dyDescent="0.55000000000000004">
      <c r="B40" s="24" t="s">
        <v>108</v>
      </c>
    </row>
    <row r="60" spans="2:23" x14ac:dyDescent="0.55000000000000004">
      <c r="B60" s="14" t="s">
        <v>104</v>
      </c>
      <c r="C60" s="26">
        <v>45383</v>
      </c>
      <c r="D60" s="26">
        <v>45413</v>
      </c>
      <c r="E60" s="26">
        <v>45444</v>
      </c>
      <c r="F60" s="26">
        <v>45474</v>
      </c>
      <c r="G60" s="26">
        <v>45505</v>
      </c>
      <c r="H60" s="26">
        <v>45536</v>
      </c>
      <c r="I60" s="26">
        <v>45566</v>
      </c>
      <c r="J60" s="26">
        <v>45597</v>
      </c>
      <c r="K60" s="26">
        <v>45627</v>
      </c>
      <c r="L60" s="26">
        <v>45658</v>
      </c>
      <c r="M60" s="26">
        <v>45689</v>
      </c>
      <c r="N60" s="26">
        <v>45717</v>
      </c>
      <c r="O60" s="26">
        <v>45748</v>
      </c>
      <c r="P60" s="26">
        <v>45778</v>
      </c>
      <c r="Q60" s="26">
        <v>45809</v>
      </c>
      <c r="R60" s="26">
        <v>45839</v>
      </c>
      <c r="S60" s="26">
        <v>45870</v>
      </c>
      <c r="T60" s="26">
        <v>45536</v>
      </c>
      <c r="U60" s="26">
        <v>45566</v>
      </c>
      <c r="V60" s="26">
        <v>45597</v>
      </c>
      <c r="W60" s="26">
        <v>45627</v>
      </c>
    </row>
    <row r="61" spans="2:23" x14ac:dyDescent="0.55000000000000004">
      <c r="B61" s="14" t="s">
        <v>65</v>
      </c>
      <c r="C61" s="14">
        <v>0</v>
      </c>
      <c r="D61" s="14">
        <v>0</v>
      </c>
      <c r="E61" s="14">
        <v>0</v>
      </c>
      <c r="F61" s="14">
        <v>0</v>
      </c>
      <c r="G61" s="14">
        <v>1</v>
      </c>
      <c r="H61" s="14">
        <v>0</v>
      </c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2:23" x14ac:dyDescent="0.55000000000000004">
      <c r="B62" s="14" t="s">
        <v>19</v>
      </c>
      <c r="C62" s="14">
        <v>0</v>
      </c>
      <c r="D62" s="14">
        <v>0</v>
      </c>
      <c r="E62" s="14">
        <v>1</v>
      </c>
      <c r="F62" s="14">
        <v>0</v>
      </c>
      <c r="G62" s="14">
        <v>0</v>
      </c>
      <c r="H62" s="14">
        <v>0</v>
      </c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</row>
    <row r="63" spans="2:23" x14ac:dyDescent="0.55000000000000004">
      <c r="B63" s="14" t="s">
        <v>105</v>
      </c>
      <c r="C63" s="14">
        <v>0</v>
      </c>
      <c r="D63" s="14">
        <v>0</v>
      </c>
      <c r="E63" s="14">
        <v>0</v>
      </c>
      <c r="F63" s="14">
        <v>0</v>
      </c>
      <c r="G63" s="14">
        <v>0</v>
      </c>
      <c r="H63" s="14">
        <v>0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</row>
    <row r="64" spans="2:23" x14ac:dyDescent="0.55000000000000004">
      <c r="B64" s="14" t="s">
        <v>54</v>
      </c>
      <c r="C64" s="14">
        <v>0</v>
      </c>
      <c r="D64" s="14">
        <v>0</v>
      </c>
      <c r="E64" s="14">
        <v>0</v>
      </c>
      <c r="F64" s="14">
        <v>0</v>
      </c>
      <c r="G64" s="14">
        <v>0</v>
      </c>
      <c r="H64" s="14">
        <v>0</v>
      </c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</row>
    <row r="65" spans="2:23" x14ac:dyDescent="0.55000000000000004">
      <c r="B65" s="14" t="s">
        <v>13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</row>
    <row r="66" spans="2:23" x14ac:dyDescent="0.55000000000000004">
      <c r="B66" s="14" t="s">
        <v>106</v>
      </c>
      <c r="C66" s="14">
        <v>0</v>
      </c>
      <c r="D66" s="14">
        <v>0</v>
      </c>
      <c r="E66" s="14">
        <v>0</v>
      </c>
      <c r="F66" s="14">
        <v>0</v>
      </c>
      <c r="G66" s="14">
        <v>0</v>
      </c>
      <c r="H66" s="14">
        <v>0</v>
      </c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</row>
    <row r="67" spans="2:23" x14ac:dyDescent="0.55000000000000004">
      <c r="B67" s="14" t="s">
        <v>80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</row>
    <row r="68" spans="2:23" x14ac:dyDescent="0.55000000000000004">
      <c r="B68" s="14" t="s">
        <v>107</v>
      </c>
      <c r="C68" s="14">
        <v>0</v>
      </c>
      <c r="D68" s="14">
        <v>0</v>
      </c>
      <c r="E68" s="14">
        <v>0</v>
      </c>
      <c r="F68" s="14">
        <v>0</v>
      </c>
      <c r="G68" s="14">
        <v>0</v>
      </c>
      <c r="H68" s="14">
        <v>0</v>
      </c>
      <c r="I68" s="14"/>
      <c r="J68" s="14"/>
      <c r="K68" s="14"/>
      <c r="L68" s="14"/>
      <c r="M68" s="14"/>
      <c r="N68" s="14"/>
      <c r="O68" s="14"/>
      <c r="P68" s="14"/>
      <c r="Q68" s="14"/>
      <c r="R68" s="14"/>
    </row>
    <row r="72" spans="2:23" x14ac:dyDescent="0.55000000000000004">
      <c r="B72" s="24" t="s">
        <v>109</v>
      </c>
    </row>
    <row r="73" spans="2:23" x14ac:dyDescent="0.55000000000000004">
      <c r="B73" s="24"/>
    </row>
    <row r="74" spans="2:23" x14ac:dyDescent="0.55000000000000004">
      <c r="B74" s="24"/>
    </row>
    <row r="75" spans="2:23" x14ac:dyDescent="0.55000000000000004">
      <c r="B75" s="24"/>
    </row>
    <row r="76" spans="2:23" x14ac:dyDescent="0.55000000000000004">
      <c r="B76" s="24"/>
    </row>
    <row r="77" spans="2:23" x14ac:dyDescent="0.55000000000000004">
      <c r="B77" s="24"/>
    </row>
    <row r="78" spans="2:23" x14ac:dyDescent="0.55000000000000004">
      <c r="B78" s="24"/>
    </row>
    <row r="79" spans="2:23" x14ac:dyDescent="0.55000000000000004">
      <c r="B79" s="24"/>
    </row>
    <row r="80" spans="2:23" x14ac:dyDescent="0.55000000000000004">
      <c r="B80" s="24"/>
    </row>
    <row r="81" spans="2:18" x14ac:dyDescent="0.55000000000000004">
      <c r="B81" s="24"/>
    </row>
    <row r="82" spans="2:18" x14ac:dyDescent="0.55000000000000004">
      <c r="B82" s="24"/>
    </row>
    <row r="83" spans="2:18" x14ac:dyDescent="0.55000000000000004">
      <c r="B83" s="24"/>
    </row>
    <row r="84" spans="2:18" x14ac:dyDescent="0.55000000000000004">
      <c r="B84" s="24"/>
    </row>
    <row r="94" spans="2:18" x14ac:dyDescent="0.55000000000000004">
      <c r="B94" s="14" t="s">
        <v>104</v>
      </c>
      <c r="C94" s="26">
        <v>45383</v>
      </c>
      <c r="D94" s="26">
        <v>45413</v>
      </c>
      <c r="E94" s="26">
        <v>45444</v>
      </c>
      <c r="F94" s="26">
        <v>45474</v>
      </c>
      <c r="G94" s="26">
        <v>45505</v>
      </c>
      <c r="H94" s="26">
        <v>45536</v>
      </c>
      <c r="I94" s="26">
        <v>45566</v>
      </c>
      <c r="J94" s="26">
        <v>45597</v>
      </c>
      <c r="K94" s="26">
        <v>45627</v>
      </c>
      <c r="L94" s="26">
        <v>45658</v>
      </c>
      <c r="M94" s="26">
        <v>45689</v>
      </c>
      <c r="N94" s="26">
        <v>45717</v>
      </c>
      <c r="O94" s="26">
        <v>45748</v>
      </c>
      <c r="P94" s="26">
        <v>45778</v>
      </c>
      <c r="Q94" s="26">
        <v>45809</v>
      </c>
      <c r="R94" s="26">
        <v>45839</v>
      </c>
    </row>
    <row r="95" spans="2:18" x14ac:dyDescent="0.55000000000000004">
      <c r="B95" s="14" t="s">
        <v>65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/>
      <c r="J95" s="14"/>
      <c r="K95" s="14"/>
      <c r="L95" s="14"/>
      <c r="M95" s="14"/>
      <c r="N95" s="14"/>
      <c r="O95" s="14"/>
      <c r="P95" s="14"/>
      <c r="Q95" s="14"/>
      <c r="R95" s="14"/>
    </row>
    <row r="96" spans="2:18" x14ac:dyDescent="0.55000000000000004">
      <c r="B96" s="14" t="s">
        <v>19</v>
      </c>
      <c r="C96" s="14">
        <v>0</v>
      </c>
      <c r="D96" s="14">
        <v>0</v>
      </c>
      <c r="E96" s="14">
        <v>0</v>
      </c>
      <c r="F96" s="14">
        <v>0</v>
      </c>
      <c r="G96" s="14">
        <v>0</v>
      </c>
      <c r="H96" s="14">
        <v>0</v>
      </c>
      <c r="I96" s="14"/>
      <c r="J96" s="14"/>
      <c r="K96" s="14"/>
      <c r="L96" s="14"/>
      <c r="M96" s="14"/>
      <c r="N96" s="14"/>
      <c r="O96" s="14"/>
      <c r="P96" s="14"/>
      <c r="Q96" s="14"/>
      <c r="R96" s="14"/>
    </row>
    <row r="97" spans="2:18" x14ac:dyDescent="0.55000000000000004">
      <c r="B97" s="14" t="s">
        <v>105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2</v>
      </c>
      <c r="I97" s="14"/>
      <c r="J97" s="14"/>
      <c r="K97" s="14"/>
      <c r="L97" s="14"/>
      <c r="M97" s="14"/>
      <c r="N97" s="14"/>
      <c r="O97" s="14"/>
      <c r="P97" s="14"/>
      <c r="Q97" s="14"/>
      <c r="R97" s="14"/>
    </row>
    <row r="98" spans="2:18" x14ac:dyDescent="0.55000000000000004">
      <c r="B98" s="14" t="s">
        <v>54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/>
      <c r="J98" s="14"/>
      <c r="K98" s="14"/>
      <c r="L98" s="14"/>
      <c r="M98" s="14"/>
      <c r="N98" s="14"/>
      <c r="O98" s="14"/>
      <c r="P98" s="14"/>
      <c r="Q98" s="14"/>
      <c r="R98" s="14"/>
    </row>
    <row r="99" spans="2:18" x14ac:dyDescent="0.55000000000000004">
      <c r="B99" s="14" t="s">
        <v>13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/>
      <c r="J99" s="14"/>
      <c r="K99" s="14"/>
      <c r="L99" s="14"/>
      <c r="M99" s="14"/>
      <c r="N99" s="14"/>
      <c r="O99" s="14"/>
      <c r="P99" s="14"/>
      <c r="Q99" s="14"/>
      <c r="R99" s="14"/>
    </row>
    <row r="100" spans="2:18" x14ac:dyDescent="0.55000000000000004">
      <c r="B100" s="14" t="s">
        <v>106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/>
      <c r="J100" s="14"/>
      <c r="K100" s="14"/>
      <c r="L100" s="14"/>
      <c r="M100" s="14"/>
      <c r="N100" s="14"/>
      <c r="O100" s="14"/>
      <c r="P100" s="14"/>
      <c r="Q100" s="14"/>
      <c r="R100" s="14"/>
    </row>
    <row r="101" spans="2:18" x14ac:dyDescent="0.55000000000000004">
      <c r="B101" s="14" t="s">
        <v>80</v>
      </c>
      <c r="C101" s="14">
        <v>0</v>
      </c>
      <c r="D101" s="14">
        <v>0</v>
      </c>
      <c r="E101" s="14">
        <v>0</v>
      </c>
      <c r="F101" s="14">
        <v>1</v>
      </c>
      <c r="G101" s="14">
        <v>0</v>
      </c>
      <c r="H101" s="14">
        <v>0</v>
      </c>
      <c r="I101" s="14"/>
      <c r="J101" s="14"/>
      <c r="K101" s="14"/>
      <c r="L101" s="14"/>
      <c r="M101" s="14"/>
      <c r="N101" s="14"/>
      <c r="O101" s="14"/>
      <c r="P101" s="14"/>
      <c r="Q101" s="14"/>
      <c r="R101" s="14"/>
    </row>
    <row r="102" spans="2:18" x14ac:dyDescent="0.55000000000000004">
      <c r="B102" s="14" t="s">
        <v>107</v>
      </c>
      <c r="C102" s="14">
        <v>0</v>
      </c>
      <c r="D102" s="14">
        <v>0</v>
      </c>
      <c r="E102" s="14">
        <v>0</v>
      </c>
      <c r="F102" s="14">
        <v>0</v>
      </c>
      <c r="G102" s="14">
        <v>0</v>
      </c>
      <c r="H102" s="14">
        <v>0</v>
      </c>
      <c r="I102" s="14"/>
      <c r="J102" s="14"/>
      <c r="K102" s="14"/>
      <c r="L102" s="14"/>
      <c r="M102" s="14"/>
      <c r="N102" s="14"/>
      <c r="O102" s="14"/>
      <c r="P102" s="14"/>
      <c r="Q102" s="14"/>
      <c r="R102" s="14"/>
    </row>
    <row r="106" spans="2:18" x14ac:dyDescent="0.55000000000000004">
      <c r="B106" s="24" t="s">
        <v>110</v>
      </c>
    </row>
    <row r="107" spans="2:18" x14ac:dyDescent="0.55000000000000004">
      <c r="B107" s="24"/>
    </row>
    <row r="108" spans="2:18" x14ac:dyDescent="0.55000000000000004">
      <c r="B108" s="24"/>
    </row>
    <row r="109" spans="2:18" x14ac:dyDescent="0.55000000000000004">
      <c r="B109" s="24"/>
    </row>
    <row r="110" spans="2:18" x14ac:dyDescent="0.55000000000000004">
      <c r="B110" s="24"/>
    </row>
    <row r="111" spans="2:18" x14ac:dyDescent="0.55000000000000004">
      <c r="B111" s="24"/>
    </row>
    <row r="112" spans="2:18" x14ac:dyDescent="0.55000000000000004">
      <c r="B112" s="24"/>
    </row>
    <row r="113" spans="2:18" x14ac:dyDescent="0.55000000000000004">
      <c r="B113" s="24"/>
    </row>
    <row r="114" spans="2:18" x14ac:dyDescent="0.55000000000000004">
      <c r="B114" s="24"/>
    </row>
    <row r="115" spans="2:18" x14ac:dyDescent="0.55000000000000004">
      <c r="B115" s="24"/>
    </row>
    <row r="116" spans="2:18" x14ac:dyDescent="0.55000000000000004">
      <c r="B116" s="24"/>
    </row>
    <row r="117" spans="2:18" x14ac:dyDescent="0.55000000000000004">
      <c r="B117" s="24"/>
    </row>
    <row r="118" spans="2:18" x14ac:dyDescent="0.55000000000000004">
      <c r="B118" s="24"/>
    </row>
    <row r="128" spans="2:18" x14ac:dyDescent="0.55000000000000004">
      <c r="B128" s="14" t="s">
        <v>104</v>
      </c>
      <c r="C128" s="26">
        <v>45383</v>
      </c>
      <c r="D128" s="26">
        <v>45413</v>
      </c>
      <c r="E128" s="26">
        <v>45444</v>
      </c>
      <c r="F128" s="26">
        <v>45474</v>
      </c>
      <c r="G128" s="26">
        <v>45505</v>
      </c>
      <c r="H128" s="26">
        <v>45536</v>
      </c>
      <c r="I128" s="26">
        <v>45566</v>
      </c>
      <c r="J128" s="26">
        <v>45597</v>
      </c>
      <c r="K128" s="26">
        <v>45627</v>
      </c>
      <c r="L128" s="26">
        <v>45658</v>
      </c>
      <c r="M128" s="26">
        <v>45689</v>
      </c>
      <c r="N128" s="26">
        <v>45717</v>
      </c>
      <c r="O128" s="26">
        <v>45748</v>
      </c>
      <c r="P128" s="26">
        <v>45778</v>
      </c>
      <c r="Q128" s="26">
        <v>45809</v>
      </c>
      <c r="R128" s="26">
        <v>45839</v>
      </c>
    </row>
    <row r="129" spans="2:18" x14ac:dyDescent="0.55000000000000004">
      <c r="B129" s="14" t="s">
        <v>65</v>
      </c>
      <c r="C129" s="14">
        <v>0</v>
      </c>
      <c r="D129" s="14">
        <v>1</v>
      </c>
      <c r="E129" s="14">
        <v>1</v>
      </c>
      <c r="F129" s="14">
        <v>0</v>
      </c>
      <c r="G129" s="14">
        <v>0</v>
      </c>
      <c r="H129" s="14">
        <v>0</v>
      </c>
      <c r="I129" s="14"/>
      <c r="J129" s="14"/>
      <c r="K129" s="14"/>
      <c r="L129" s="14"/>
      <c r="M129" s="14"/>
      <c r="N129" s="14"/>
      <c r="O129" s="14"/>
      <c r="P129" s="14"/>
      <c r="Q129" s="14"/>
      <c r="R129" s="14"/>
    </row>
    <row r="130" spans="2:18" x14ac:dyDescent="0.55000000000000004">
      <c r="B130" s="14" t="s">
        <v>19</v>
      </c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14">
        <v>0</v>
      </c>
      <c r="I130" s="14"/>
      <c r="J130" s="14"/>
      <c r="K130" s="14"/>
      <c r="L130" s="14"/>
      <c r="M130" s="14"/>
      <c r="N130" s="14"/>
      <c r="O130" s="14"/>
      <c r="P130" s="14"/>
      <c r="Q130" s="14"/>
      <c r="R130" s="14"/>
    </row>
    <row r="131" spans="2:18" x14ac:dyDescent="0.55000000000000004">
      <c r="B131" s="14" t="s">
        <v>105</v>
      </c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14">
        <v>0</v>
      </c>
      <c r="I131" s="14"/>
      <c r="J131" s="14"/>
      <c r="K131" s="14"/>
      <c r="L131" s="14"/>
      <c r="M131" s="14"/>
      <c r="N131" s="14"/>
      <c r="O131" s="14"/>
      <c r="P131" s="14"/>
      <c r="Q131" s="14"/>
      <c r="R131" s="14"/>
    </row>
    <row r="132" spans="2:18" x14ac:dyDescent="0.55000000000000004">
      <c r="B132" s="14" t="s">
        <v>54</v>
      </c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14">
        <v>0</v>
      </c>
      <c r="I132" s="14"/>
      <c r="J132" s="14"/>
      <c r="K132" s="14"/>
      <c r="L132" s="14"/>
      <c r="M132" s="14"/>
      <c r="N132" s="14"/>
      <c r="O132" s="14"/>
      <c r="P132" s="14"/>
      <c r="Q132" s="14"/>
      <c r="R132" s="14"/>
    </row>
    <row r="133" spans="2:18" x14ac:dyDescent="0.55000000000000004">
      <c r="B133" s="14" t="s">
        <v>13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/>
      <c r="J133" s="14"/>
      <c r="K133" s="14"/>
      <c r="L133" s="14"/>
      <c r="M133" s="14"/>
      <c r="N133" s="14"/>
      <c r="O133" s="14"/>
      <c r="P133" s="14"/>
      <c r="Q133" s="14"/>
      <c r="R133" s="14"/>
    </row>
    <row r="134" spans="2:18" x14ac:dyDescent="0.55000000000000004">
      <c r="B134" s="14" t="s">
        <v>106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/>
      <c r="J134" s="14"/>
      <c r="K134" s="14"/>
      <c r="L134" s="14"/>
      <c r="M134" s="14"/>
      <c r="N134" s="14"/>
      <c r="O134" s="14"/>
      <c r="P134" s="14"/>
      <c r="Q134" s="14"/>
      <c r="R134" s="14"/>
    </row>
    <row r="135" spans="2:18" x14ac:dyDescent="0.55000000000000004">
      <c r="B135" s="14" t="s">
        <v>80</v>
      </c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14">
        <v>0</v>
      </c>
      <c r="I135" s="14"/>
      <c r="J135" s="14"/>
      <c r="K135" s="14"/>
      <c r="L135" s="14"/>
      <c r="M135" s="14"/>
      <c r="N135" s="14"/>
      <c r="O135" s="14"/>
      <c r="P135" s="14"/>
      <c r="Q135" s="14"/>
      <c r="R135" s="14"/>
    </row>
    <row r="136" spans="2:18" x14ac:dyDescent="0.55000000000000004">
      <c r="B136" s="14" t="s">
        <v>107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0</v>
      </c>
      <c r="I136" s="14"/>
      <c r="J136" s="14"/>
      <c r="K136" s="14"/>
      <c r="L136" s="14"/>
      <c r="M136" s="14"/>
      <c r="N136" s="14"/>
      <c r="O136" s="14"/>
      <c r="P136" s="14"/>
      <c r="Q136" s="14"/>
      <c r="R136" s="14"/>
    </row>
    <row r="140" spans="2:18" x14ac:dyDescent="0.55000000000000004">
      <c r="B140" s="24" t="s">
        <v>111</v>
      </c>
    </row>
    <row r="141" spans="2:18" x14ac:dyDescent="0.55000000000000004">
      <c r="B141" s="24"/>
    </row>
    <row r="142" spans="2:18" x14ac:dyDescent="0.55000000000000004">
      <c r="B142" s="24"/>
    </row>
    <row r="143" spans="2:18" x14ac:dyDescent="0.55000000000000004">
      <c r="B143" s="24"/>
    </row>
    <row r="144" spans="2:18" x14ac:dyDescent="0.55000000000000004">
      <c r="B144" s="24"/>
    </row>
    <row r="145" spans="2:2" x14ac:dyDescent="0.55000000000000004">
      <c r="B145" s="24"/>
    </row>
    <row r="146" spans="2:2" x14ac:dyDescent="0.55000000000000004">
      <c r="B146" s="24"/>
    </row>
    <row r="147" spans="2:2" x14ac:dyDescent="0.55000000000000004">
      <c r="B147" s="24"/>
    </row>
    <row r="148" spans="2:2" x14ac:dyDescent="0.55000000000000004">
      <c r="B148" s="24"/>
    </row>
    <row r="149" spans="2:2" x14ac:dyDescent="0.55000000000000004">
      <c r="B149" s="24"/>
    </row>
    <row r="150" spans="2:2" x14ac:dyDescent="0.55000000000000004">
      <c r="B150" s="24"/>
    </row>
    <row r="151" spans="2:2" x14ac:dyDescent="0.55000000000000004">
      <c r="B151" s="24"/>
    </row>
    <row r="152" spans="2:2" x14ac:dyDescent="0.55000000000000004">
      <c r="B152" s="24"/>
    </row>
    <row r="162" spans="2:18" x14ac:dyDescent="0.55000000000000004">
      <c r="B162" s="14" t="s">
        <v>104</v>
      </c>
      <c r="C162" s="26">
        <v>45383</v>
      </c>
      <c r="D162" s="26">
        <v>45413</v>
      </c>
      <c r="E162" s="26">
        <v>45444</v>
      </c>
      <c r="F162" s="26">
        <v>45474</v>
      </c>
      <c r="G162" s="26">
        <v>45505</v>
      </c>
      <c r="H162" s="26">
        <v>45536</v>
      </c>
      <c r="I162" s="26">
        <v>45566</v>
      </c>
      <c r="J162" s="26">
        <v>45597</v>
      </c>
      <c r="K162" s="26">
        <v>45627</v>
      </c>
      <c r="L162" s="26">
        <v>45658</v>
      </c>
      <c r="M162" s="26">
        <v>45689</v>
      </c>
      <c r="N162" s="26">
        <v>45717</v>
      </c>
      <c r="O162" s="26">
        <v>45748</v>
      </c>
      <c r="P162" s="26">
        <v>45778</v>
      </c>
      <c r="Q162" s="26">
        <v>45809</v>
      </c>
      <c r="R162" s="26">
        <v>45839</v>
      </c>
    </row>
    <row r="163" spans="2:18" x14ac:dyDescent="0.55000000000000004">
      <c r="B163" s="14" t="s">
        <v>65</v>
      </c>
      <c r="C163" s="14">
        <v>0</v>
      </c>
      <c r="D163" s="14">
        <v>0</v>
      </c>
      <c r="E163" s="14">
        <v>2</v>
      </c>
      <c r="F163" s="14">
        <v>0</v>
      </c>
      <c r="G163" s="14">
        <v>4</v>
      </c>
      <c r="H163" s="14">
        <v>0</v>
      </c>
      <c r="I163" s="14"/>
      <c r="J163" s="14"/>
      <c r="K163" s="14"/>
      <c r="L163" s="14"/>
      <c r="M163" s="14"/>
      <c r="N163" s="14"/>
      <c r="O163" s="14"/>
      <c r="P163" s="14"/>
      <c r="Q163" s="14"/>
      <c r="R163" s="14"/>
    </row>
    <row r="164" spans="2:18" x14ac:dyDescent="0.55000000000000004">
      <c r="B164" s="14" t="s">
        <v>19</v>
      </c>
      <c r="C164" s="14">
        <v>0</v>
      </c>
      <c r="D164" s="14">
        <v>0</v>
      </c>
      <c r="E164" s="14">
        <v>1</v>
      </c>
      <c r="F164" s="14">
        <v>0</v>
      </c>
      <c r="G164" s="14">
        <v>0</v>
      </c>
      <c r="H164" s="14">
        <v>0</v>
      </c>
      <c r="I164" s="14"/>
      <c r="J164" s="14"/>
      <c r="K164" s="14"/>
      <c r="L164" s="14"/>
      <c r="M164" s="14"/>
      <c r="N164" s="14"/>
      <c r="O164" s="14"/>
      <c r="P164" s="14"/>
      <c r="Q164" s="14"/>
      <c r="R164" s="14"/>
    </row>
    <row r="165" spans="2:18" x14ac:dyDescent="0.55000000000000004">
      <c r="B165" s="14" t="s">
        <v>105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/>
      <c r="J165" s="14"/>
      <c r="K165" s="14"/>
      <c r="L165" s="14"/>
      <c r="M165" s="14"/>
      <c r="N165" s="14"/>
      <c r="O165" s="14"/>
      <c r="P165" s="14"/>
      <c r="Q165" s="14"/>
      <c r="R165" s="14"/>
    </row>
    <row r="166" spans="2:18" x14ac:dyDescent="0.55000000000000004">
      <c r="B166" s="14" t="s">
        <v>54</v>
      </c>
      <c r="C166" s="14">
        <v>0</v>
      </c>
      <c r="D166" s="14">
        <v>0</v>
      </c>
      <c r="E166" s="14">
        <v>1</v>
      </c>
      <c r="F166" s="14">
        <v>0</v>
      </c>
      <c r="G166" s="14">
        <v>0</v>
      </c>
      <c r="H166" s="14">
        <v>0</v>
      </c>
      <c r="I166" s="14"/>
      <c r="J166" s="14"/>
      <c r="K166" s="14"/>
      <c r="L166" s="14"/>
      <c r="M166" s="14"/>
      <c r="N166" s="14"/>
      <c r="O166" s="14"/>
      <c r="P166" s="14"/>
      <c r="Q166" s="14"/>
      <c r="R166" s="14"/>
    </row>
    <row r="167" spans="2:18" x14ac:dyDescent="0.55000000000000004">
      <c r="B167" s="14" t="s">
        <v>13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/>
      <c r="J167" s="14"/>
      <c r="K167" s="14"/>
      <c r="L167" s="14"/>
      <c r="M167" s="14"/>
      <c r="N167" s="14"/>
      <c r="O167" s="14"/>
      <c r="P167" s="14"/>
      <c r="Q167" s="14"/>
      <c r="R167" s="14"/>
    </row>
    <row r="168" spans="2:18" x14ac:dyDescent="0.55000000000000004">
      <c r="B168" s="14" t="s">
        <v>106</v>
      </c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/>
      <c r="J168" s="14"/>
      <c r="K168" s="14"/>
      <c r="L168" s="14"/>
      <c r="M168" s="14"/>
      <c r="N168" s="14"/>
      <c r="O168" s="14"/>
      <c r="P168" s="14"/>
      <c r="Q168" s="14"/>
      <c r="R168" s="14"/>
    </row>
    <row r="169" spans="2:18" x14ac:dyDescent="0.55000000000000004">
      <c r="B169" s="14" t="s">
        <v>80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/>
      <c r="J169" s="14"/>
      <c r="K169" s="14"/>
      <c r="L169" s="14"/>
      <c r="M169" s="14"/>
      <c r="N169" s="14"/>
      <c r="O169" s="14"/>
      <c r="P169" s="14"/>
      <c r="Q169" s="14"/>
      <c r="R169" s="14"/>
    </row>
    <row r="170" spans="2:18" x14ac:dyDescent="0.55000000000000004">
      <c r="B170" s="14" t="s">
        <v>107</v>
      </c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14">
        <v>0</v>
      </c>
      <c r="I170" s="14"/>
      <c r="J170" s="14"/>
      <c r="K170" s="14"/>
      <c r="L170" s="14"/>
      <c r="M170" s="14"/>
      <c r="N170" s="14"/>
      <c r="O170" s="14"/>
      <c r="P170" s="14"/>
      <c r="Q170" s="14"/>
      <c r="R170" s="14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作業用 (myTE集計用)</vt:lpstr>
      <vt:lpstr>myTe(FB件数)</vt:lpstr>
      <vt:lpstr>myTE 累積棒グラフ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2024-10-18T07:08:19Z</dcterms:created>
  <dcterms:modified xsi:type="dcterms:W3CDTF">2024-10-18T07:58:07Z</dcterms:modified>
</cp:coreProperties>
</file>