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安全衛生委員会\マクロ作成\"/>
    </mc:Choice>
  </mc:AlternateContent>
  <xr:revisionPtr revIDLastSave="0" documentId="13_ncr:1_{11CD14C8-2029-4D0C-9290-9FD9B7D8B282}" xr6:coauthVersionLast="47" xr6:coauthVersionMax="47" xr10:uidLastSave="{00000000-0000-0000-0000-000000000000}"/>
  <bookViews>
    <workbookView xWindow="-110" yWindow="-110" windowWidth="19420" windowHeight="11500" firstSheet="7" activeTab="16" xr2:uid="{F40A04B1-C601-48BC-BC41-6E85489050D0}"/>
  </bookViews>
  <sheets>
    <sheet name="マクロフォーム" sheetId="1" r:id="rId1"/>
    <sheet name="勤務オフィスリスト" sheetId="2" r:id="rId2"/>
    <sheet name="AIH.HDC(札幌)" sheetId="3" r:id="rId3"/>
    <sheet name="福島(会津)" sheetId="4" r:id="rId4"/>
    <sheet name="中之島" sheetId="5" r:id="rId5"/>
    <sheet name="心斎橋" sheetId="6" r:id="rId6"/>
    <sheet name="AIC" sheetId="7" r:id="rId7"/>
    <sheet name="AIR" sheetId="8" r:id="rId8"/>
    <sheet name="AIT" sheetId="9" r:id="rId9"/>
    <sheet name="福岡" sheetId="10" r:id="rId10"/>
    <sheet name="博多" sheetId="11" r:id="rId11"/>
    <sheet name="熊本" sheetId="12" r:id="rId12"/>
    <sheet name="TSC" sheetId="13" r:id="rId13"/>
    <sheet name="名古屋" sheetId="14" r:id="rId14"/>
    <sheet name="新高円寺" sheetId="15" r:id="rId15"/>
    <sheet name="仙台" sheetId="16" r:id="rId16"/>
    <sheet name="MM" sheetId="17" r:id="rId1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5" i="17" l="1"/>
  <c r="C26" i="17" s="1"/>
  <c r="C25" i="16"/>
  <c r="C26" i="16" s="1"/>
  <c r="C25" i="15"/>
  <c r="C26" i="15" s="1"/>
  <c r="C25" i="14"/>
  <c r="C26" i="14" s="1"/>
  <c r="C25" i="13"/>
  <c r="C26" i="13" s="1"/>
  <c r="C25" i="12"/>
  <c r="C26" i="12" s="1"/>
  <c r="C25" i="11"/>
  <c r="C26" i="11" s="1"/>
  <c r="C25" i="10"/>
  <c r="C26" i="10" s="1"/>
  <c r="C25" i="9"/>
  <c r="C26" i="9" s="1"/>
  <c r="C25" i="8"/>
  <c r="C26" i="8" s="1"/>
  <c r="C25" i="7"/>
  <c r="C26" i="7" s="1"/>
  <c r="C25" i="6"/>
  <c r="C26" i="6" s="1"/>
  <c r="C25" i="5"/>
  <c r="C26" i="5" s="1"/>
  <c r="C25" i="4"/>
  <c r="C26" i="4" s="1"/>
  <c r="C26" i="3"/>
  <c r="C25" i="3"/>
</calcChain>
</file>

<file path=xl/sharedStrings.xml><?xml version="1.0" encoding="utf-8"?>
<sst xmlns="http://schemas.openxmlformats.org/spreadsheetml/2006/main" count="577" uniqueCount="78">
  <si>
    <t>データ抽出マクロボタン</t>
    <rPh sb="3" eb="5">
      <t>チュウシュツ</t>
    </rPh>
    <phoneticPr fontId="1"/>
  </si>
  <si>
    <t>福島(会津)</t>
    <rPh sb="0" eb="2">
      <t>フクシマ</t>
    </rPh>
    <rPh sb="3" eb="5">
      <t>アイヅ</t>
    </rPh>
    <phoneticPr fontId="1"/>
  </si>
  <si>
    <t>中之島</t>
    <rPh sb="0" eb="3">
      <t>ナカノシマ</t>
    </rPh>
    <phoneticPr fontId="1"/>
  </si>
  <si>
    <t>心斎橋</t>
    <rPh sb="0" eb="3">
      <t>シンサイバシ</t>
    </rPh>
    <phoneticPr fontId="1"/>
  </si>
  <si>
    <t>AIC</t>
    <phoneticPr fontId="1"/>
  </si>
  <si>
    <t>AIR</t>
    <phoneticPr fontId="1"/>
  </si>
  <si>
    <t>AIT</t>
    <phoneticPr fontId="1"/>
  </si>
  <si>
    <t>熊本</t>
    <rPh sb="0" eb="2">
      <t>クマモト</t>
    </rPh>
    <phoneticPr fontId="1"/>
  </si>
  <si>
    <t>MM</t>
    <phoneticPr fontId="1"/>
  </si>
  <si>
    <t>TSC</t>
    <phoneticPr fontId="1"/>
  </si>
  <si>
    <t>名古屋</t>
    <rPh sb="0" eb="3">
      <t>ナゴヤ</t>
    </rPh>
    <phoneticPr fontId="1"/>
  </si>
  <si>
    <t>新高円寺</t>
    <rPh sb="0" eb="4">
      <t>シンコウエンジ</t>
    </rPh>
    <phoneticPr fontId="1"/>
  </si>
  <si>
    <t>仙台</t>
    <rPh sb="0" eb="2">
      <t>センダイ</t>
    </rPh>
    <phoneticPr fontId="1"/>
  </si>
  <si>
    <t>勤務オフィス略語一覧</t>
    <rPh sb="0" eb="2">
      <t>キンム</t>
    </rPh>
    <rPh sb="6" eb="8">
      <t>リャクゴ</t>
    </rPh>
    <rPh sb="8" eb="10">
      <t>イチラン</t>
    </rPh>
    <phoneticPr fontId="1"/>
  </si>
  <si>
    <t>拠点オフィス</t>
    <rPh sb="0" eb="2">
      <t>キョテン</t>
    </rPh>
    <phoneticPr fontId="1"/>
  </si>
  <si>
    <t>Sapporo, Shiroishi Garden Place</t>
  </si>
  <si>
    <t>Aizuwakamatsu, ICT Office Building</t>
    <phoneticPr fontId="1"/>
  </si>
  <si>
    <t>Osaka, Nakanoshima Building</t>
  </si>
  <si>
    <t>Osaka, Nissei Shinsaibashi West Building</t>
    <phoneticPr fontId="1"/>
  </si>
  <si>
    <t>Tokyo, Akasaka Intercity</t>
    <phoneticPr fontId="1"/>
  </si>
  <si>
    <t>Tokyo, Akasaka Intercity AIR</t>
    <phoneticPr fontId="1"/>
  </si>
  <si>
    <t>Tokyo, Azabu Juban Building</t>
    <phoneticPr fontId="1"/>
  </si>
  <si>
    <t>Tokyo, AIT Office</t>
    <phoneticPr fontId="1"/>
  </si>
  <si>
    <t>Fukuoka, A.I. Building</t>
    <phoneticPr fontId="1"/>
  </si>
  <si>
    <t>Fukuoka, A.I. Office</t>
    <phoneticPr fontId="1"/>
  </si>
  <si>
    <t>Fukuoka, Hakata FD Business Center</t>
    <phoneticPr fontId="1"/>
  </si>
  <si>
    <t>Kumamoto, Fukoku Seimei Building</t>
    <phoneticPr fontId="1"/>
  </si>
  <si>
    <t>Yokohama, Minato Mirai Park Building</t>
    <phoneticPr fontId="1"/>
  </si>
  <si>
    <t>Tokyo, Harumi Triton Square Tower W</t>
    <phoneticPr fontId="1"/>
  </si>
  <si>
    <t>Tokyo, Inui Building Kachidoki</t>
    <phoneticPr fontId="1"/>
  </si>
  <si>
    <t>Nagoya, Aoi Garden Building</t>
    <phoneticPr fontId="1"/>
  </si>
  <si>
    <t>Tokyo, Shinkoenji Twin Building</t>
    <phoneticPr fontId="1"/>
  </si>
  <si>
    <t>Sendai, Urban Net Sendai Chuo Building</t>
    <phoneticPr fontId="1"/>
  </si>
  <si>
    <t>資料を作成する拠点を選択してください</t>
    <rPh sb="0" eb="2">
      <t>シリョウ</t>
    </rPh>
    <rPh sb="3" eb="5">
      <t>サクセイ</t>
    </rPh>
    <rPh sb="7" eb="9">
      <t>キョテン</t>
    </rPh>
    <rPh sb="10" eb="12">
      <t>センタク</t>
    </rPh>
    <phoneticPr fontId="1"/>
  </si>
  <si>
    <t>福岡</t>
    <rPh sb="0" eb="2">
      <t>フクオカ</t>
    </rPh>
    <phoneticPr fontId="1"/>
  </si>
  <si>
    <t>博多</t>
    <rPh sb="0" eb="2">
      <t>ハカタ</t>
    </rPh>
    <phoneticPr fontId="1"/>
  </si>
  <si>
    <t>Sapporo, Hokkaido</t>
    <phoneticPr fontId="1"/>
  </si>
  <si>
    <t>拠点</t>
    <rPh sb="0" eb="2">
      <t>キョテン</t>
    </rPh>
    <phoneticPr fontId="1"/>
  </si>
  <si>
    <t>80+</t>
    <phoneticPr fontId="1"/>
  </si>
  <si>
    <t>45.1～80</t>
    <phoneticPr fontId="1"/>
  </si>
  <si>
    <t>45+ Total</t>
    <phoneticPr fontId="1"/>
  </si>
  <si>
    <t>HDC,DTE別人数一覧表</t>
    <rPh sb="7" eb="8">
      <t>ベツ</t>
    </rPh>
    <rPh sb="8" eb="10">
      <t>ニンズウ</t>
    </rPh>
    <rPh sb="10" eb="13">
      <t>イチランヒョウ</t>
    </rPh>
    <phoneticPr fontId="1"/>
  </si>
  <si>
    <t>CMT</t>
    <phoneticPr fontId="1"/>
  </si>
  <si>
    <t>FS</t>
    <phoneticPr fontId="1"/>
  </si>
  <si>
    <t>H&amp;PS</t>
    <phoneticPr fontId="1"/>
  </si>
  <si>
    <t>PRD</t>
    <phoneticPr fontId="1"/>
  </si>
  <si>
    <t>RES</t>
    <phoneticPr fontId="1"/>
  </si>
  <si>
    <t>Internal/MD</t>
    <phoneticPr fontId="1"/>
  </si>
  <si>
    <t>CF</t>
    <phoneticPr fontId="1"/>
  </si>
  <si>
    <t>Other</t>
    <phoneticPr fontId="1"/>
  </si>
  <si>
    <t>Total</t>
    <phoneticPr fontId="1"/>
  </si>
  <si>
    <t>拠点に所属している社員数</t>
    <rPh sb="0" eb="2">
      <t>キョテン</t>
    </rPh>
    <rPh sb="3" eb="5">
      <t>ショゾク</t>
    </rPh>
    <rPh sb="9" eb="12">
      <t>シャインスウ</t>
    </rPh>
    <phoneticPr fontId="1"/>
  </si>
  <si>
    <t>45時間超え社員数</t>
    <rPh sb="2" eb="5">
      <t>ジカンコ</t>
    </rPh>
    <rPh sb="6" eb="9">
      <t>シャインスウ</t>
    </rPh>
    <phoneticPr fontId="1"/>
  </si>
  <si>
    <t>80時間超え社員数</t>
    <rPh sb="2" eb="4">
      <t>ジカン</t>
    </rPh>
    <rPh sb="4" eb="5">
      <t>コ</t>
    </rPh>
    <rPh sb="6" eb="9">
      <t>シャインスウ</t>
    </rPh>
    <phoneticPr fontId="1"/>
  </si>
  <si>
    <t>45.1～80時間社員数</t>
    <rPh sb="7" eb="9">
      <t>ジカン</t>
    </rPh>
    <rPh sb="9" eb="12">
      <t>シャインスウ</t>
    </rPh>
    <phoneticPr fontId="1"/>
  </si>
  <si>
    <t>項目</t>
    <rPh sb="0" eb="2">
      <t>コウモク</t>
    </rPh>
    <phoneticPr fontId="1"/>
  </si>
  <si>
    <t>社員数</t>
    <rPh sb="0" eb="3">
      <t>シャインスウ</t>
    </rPh>
    <phoneticPr fontId="1"/>
  </si>
  <si>
    <t>DTE別、HDC拠点OT45時間超え人数表</t>
    <rPh sb="3" eb="4">
      <t>ベツ</t>
    </rPh>
    <rPh sb="8" eb="10">
      <t>キョテン</t>
    </rPh>
    <rPh sb="14" eb="16">
      <t>ジカン</t>
    </rPh>
    <rPh sb="16" eb="17">
      <t>コ</t>
    </rPh>
    <rPh sb="18" eb="20">
      <t>ニンズウ</t>
    </rPh>
    <rPh sb="20" eb="21">
      <t>ヒョウ</t>
    </rPh>
    <phoneticPr fontId="1"/>
  </si>
  <si>
    <t>DTE別、HDC拠点OT45時間超え3回以上人数表</t>
    <rPh sb="3" eb="4">
      <t>ベツ</t>
    </rPh>
    <rPh sb="8" eb="10">
      <t>キョテン</t>
    </rPh>
    <rPh sb="14" eb="16">
      <t>ジカン</t>
    </rPh>
    <rPh sb="16" eb="17">
      <t>コ</t>
    </rPh>
    <rPh sb="19" eb="20">
      <t>カイ</t>
    </rPh>
    <rPh sb="20" eb="22">
      <t>イジョウ</t>
    </rPh>
    <rPh sb="22" eb="25">
      <t>ニンズウヒョウ</t>
    </rPh>
    <phoneticPr fontId="1"/>
  </si>
  <si>
    <t>staff</t>
    <phoneticPr fontId="1"/>
  </si>
  <si>
    <t>MGR+</t>
    <phoneticPr fontId="1"/>
  </si>
  <si>
    <t>AIH.HDC(札幌)</t>
    <rPh sb="8" eb="10">
      <t>サッポロ</t>
    </rPh>
    <phoneticPr fontId="1"/>
  </si>
  <si>
    <t>OT45超え割合(%)</t>
    <rPh sb="4" eb="5">
      <t>コ</t>
    </rPh>
    <rPh sb="6" eb="8">
      <t>ワリアイ</t>
    </rPh>
    <phoneticPr fontId="1"/>
  </si>
  <si>
    <t>福島(会津),DTE別人数一覧表</t>
    <rPh sb="0" eb="2">
      <t>フクシマ</t>
    </rPh>
    <rPh sb="3" eb="5">
      <t>アイヅ</t>
    </rPh>
    <rPh sb="10" eb="11">
      <t>ベツ</t>
    </rPh>
    <rPh sb="11" eb="13">
      <t>ニンズウ</t>
    </rPh>
    <rPh sb="13" eb="16">
      <t>イチランヒョウ</t>
    </rPh>
    <phoneticPr fontId="1"/>
  </si>
  <si>
    <t>中之島,DTE別人数一覧表</t>
    <rPh sb="0" eb="3">
      <t>ナカノシマ</t>
    </rPh>
    <rPh sb="7" eb="8">
      <t>ベツ</t>
    </rPh>
    <rPh sb="8" eb="10">
      <t>ニンズウ</t>
    </rPh>
    <rPh sb="10" eb="13">
      <t>イチランヒョウ</t>
    </rPh>
    <phoneticPr fontId="1"/>
  </si>
  <si>
    <t>心斎橋,DTE別人数一覧表</t>
    <rPh sb="0" eb="3">
      <t>シンサイバシ</t>
    </rPh>
    <rPh sb="7" eb="8">
      <t>ベツ</t>
    </rPh>
    <rPh sb="8" eb="10">
      <t>ニンズウ</t>
    </rPh>
    <rPh sb="10" eb="13">
      <t>イチランヒョウ</t>
    </rPh>
    <phoneticPr fontId="1"/>
  </si>
  <si>
    <t>AIC,DTE別人数一覧表</t>
    <rPh sb="7" eb="8">
      <t>ベツ</t>
    </rPh>
    <rPh sb="8" eb="10">
      <t>ニンズウ</t>
    </rPh>
    <rPh sb="10" eb="13">
      <t>イチランヒョウ</t>
    </rPh>
    <phoneticPr fontId="1"/>
  </si>
  <si>
    <t>AIR,DTE別人数一覧表</t>
    <rPh sb="7" eb="8">
      <t>ベツ</t>
    </rPh>
    <rPh sb="8" eb="10">
      <t>ニンズウ</t>
    </rPh>
    <rPh sb="10" eb="13">
      <t>イチランヒョウ</t>
    </rPh>
    <phoneticPr fontId="1"/>
  </si>
  <si>
    <t>AIT,DTE別人数一覧表</t>
    <rPh sb="7" eb="8">
      <t>ベツ</t>
    </rPh>
    <rPh sb="8" eb="10">
      <t>ニンズウ</t>
    </rPh>
    <rPh sb="10" eb="13">
      <t>イチランヒョウ</t>
    </rPh>
    <phoneticPr fontId="1"/>
  </si>
  <si>
    <t>福岡,DTE別人数一覧表</t>
    <rPh sb="0" eb="2">
      <t>フクオカ</t>
    </rPh>
    <rPh sb="6" eb="7">
      <t>ベツ</t>
    </rPh>
    <rPh sb="7" eb="9">
      <t>ニンズウ</t>
    </rPh>
    <rPh sb="9" eb="12">
      <t>イチランヒョウ</t>
    </rPh>
    <phoneticPr fontId="1"/>
  </si>
  <si>
    <t>博多,DTE別人数一覧表</t>
    <rPh sb="0" eb="2">
      <t>ハカタ</t>
    </rPh>
    <rPh sb="6" eb="7">
      <t>ベツ</t>
    </rPh>
    <rPh sb="7" eb="9">
      <t>ニンズウ</t>
    </rPh>
    <rPh sb="9" eb="12">
      <t>イチランヒョウ</t>
    </rPh>
    <phoneticPr fontId="1"/>
  </si>
  <si>
    <t>熊本,DTE別人数一覧表</t>
    <rPh sb="0" eb="2">
      <t>クマモト</t>
    </rPh>
    <rPh sb="6" eb="7">
      <t>ベツ</t>
    </rPh>
    <rPh sb="7" eb="9">
      <t>ニンズウ</t>
    </rPh>
    <rPh sb="9" eb="12">
      <t>イチランヒョウ</t>
    </rPh>
    <phoneticPr fontId="1"/>
  </si>
  <si>
    <t>TSC,DTE別人数一覧表</t>
    <rPh sb="7" eb="8">
      <t>ベツ</t>
    </rPh>
    <rPh sb="8" eb="10">
      <t>ニンズウ</t>
    </rPh>
    <rPh sb="10" eb="13">
      <t>イチランヒョウ</t>
    </rPh>
    <phoneticPr fontId="1"/>
  </si>
  <si>
    <t>名古屋,DTE別人数一覧表</t>
    <rPh sb="0" eb="3">
      <t>ナゴヤ</t>
    </rPh>
    <rPh sb="7" eb="8">
      <t>ベツ</t>
    </rPh>
    <rPh sb="8" eb="10">
      <t>ニンズウ</t>
    </rPh>
    <rPh sb="10" eb="13">
      <t>イチランヒョウ</t>
    </rPh>
    <phoneticPr fontId="1"/>
  </si>
  <si>
    <t>新高円寺,DTE別人数一覧表</t>
    <rPh sb="0" eb="4">
      <t>シンコウエンジ</t>
    </rPh>
    <rPh sb="8" eb="9">
      <t>ベツ</t>
    </rPh>
    <rPh sb="9" eb="11">
      <t>ニンズウ</t>
    </rPh>
    <rPh sb="11" eb="14">
      <t>イチランヒョウ</t>
    </rPh>
    <phoneticPr fontId="1"/>
  </si>
  <si>
    <t>仙台,DTE別人数一覧表</t>
    <rPh sb="0" eb="2">
      <t>センダイ</t>
    </rPh>
    <rPh sb="6" eb="7">
      <t>ベツ</t>
    </rPh>
    <rPh sb="7" eb="9">
      <t>ニンズウ</t>
    </rPh>
    <rPh sb="9" eb="12">
      <t>イチランヒョウ</t>
    </rPh>
    <phoneticPr fontId="1"/>
  </si>
  <si>
    <t>MM,DTE別人数一覧表</t>
    <rPh sb="6" eb="7">
      <t>ベツ</t>
    </rPh>
    <rPh sb="7" eb="9">
      <t>ニンズウ</t>
    </rPh>
    <rPh sb="9" eb="12">
      <t>イチランヒョウ</t>
    </rPh>
    <phoneticPr fontId="1"/>
  </si>
  <si>
    <t>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</si>
</sst>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C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2" borderId="0" xfId="0" applyFill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2" fillId="0" borderId="0" xfId="0" applyFont="1">
      <alignment vertical="center"/>
    </xf>
    <xf numFmtId="0" fontId="0" fillId="0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CCFF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10</xdr:row>
      <xdr:rowOff>31750</xdr:rowOff>
    </xdr:from>
    <xdr:to>
      <xdr:col>5</xdr:col>
      <xdr:colOff>12700</xdr:colOff>
      <xdr:row>12</xdr:row>
      <xdr:rowOff>222250</xdr:rowOff>
    </xdr:to>
    <xdr:sp macro="[0]!main" textlink="">
      <xdr:nvSpPr>
        <xdr:cNvPr id="2" name="正方形/長方形 1">
          <a:extLst>
            <a:ext uri="{FF2B5EF4-FFF2-40B4-BE49-F238E27FC236}">
              <a16:creationId xmlns:a16="http://schemas.microsoft.com/office/drawing/2014/main" id="{05CC91D2-3181-9F95-A4CB-E59CB3954E0C}"/>
            </a:ext>
          </a:extLst>
        </xdr:cNvPr>
        <xdr:cNvSpPr/>
      </xdr:nvSpPr>
      <xdr:spPr>
        <a:xfrm>
          <a:off x="685800" y="2317750"/>
          <a:ext cx="2628900" cy="647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データ抽出ボタン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7CBEA-2035-478C-A978-1AF41FCAD1A2}">
  <sheetPr codeName="Sheet1"/>
  <dimension ref="B5:B9"/>
  <sheetViews>
    <sheetView topLeftCell="A4" workbookViewId="0">
      <selection activeCell="B7" sqref="B7"/>
    </sheetView>
  </sheetViews>
  <sheetFormatPr defaultRowHeight="18" x14ac:dyDescent="0.55000000000000004"/>
  <cols>
    <col min="2" max="2" width="15.25" customWidth="1"/>
  </cols>
  <sheetData>
    <row r="5" spans="2:2" x14ac:dyDescent="0.55000000000000004">
      <c r="B5" t="s">
        <v>33</v>
      </c>
    </row>
    <row r="7" spans="2:2" x14ac:dyDescent="0.55000000000000004">
      <c r="B7" s="3" t="s">
        <v>77</v>
      </c>
    </row>
    <row r="9" spans="2:2" x14ac:dyDescent="0.55000000000000004">
      <c r="B9" t="s">
        <v>0</v>
      </c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813DD8A-24D6-4DC6-97C8-12E21D332096}">
          <x14:formula1>
            <xm:f>勤務オフィスリスト!$B$3:$B$17</xm:f>
          </x14:formula1>
          <xm:sqref>B7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521E2-E91B-48AC-A055-4CEDA90CE372}">
  <sheetPr codeName="Sheet2"/>
  <dimension ref="B2:D17"/>
  <sheetViews>
    <sheetView topLeftCell="A4" workbookViewId="0"/>
  </sheetViews>
  <sheetFormatPr defaultRowHeight="18" x14ac:dyDescent="0.55000000000000004"/>
  <cols>
    <col min="2" max="2" width="20.08203125" bestFit="1" customWidth="1"/>
    <col min="3" max="3" width="38.08203125" bestFit="1" customWidth="1"/>
    <col min="4" max="4" width="28" bestFit="1" customWidth="1"/>
  </cols>
  <sheetData>
    <row r="2" spans="2:4" x14ac:dyDescent="0.55000000000000004">
      <c r="B2" s="2" t="s">
        <v>13</v>
      </c>
      <c r="C2" s="2" t="s">
        <v>14</v>
      </c>
      <c r="D2" s="2"/>
    </row>
    <row r="3" spans="2:4" x14ac:dyDescent="0.55000000000000004">
      <c r="B3" s="1" t="s">
        <v>61</v>
      </c>
      <c r="C3" s="1" t="s">
        <v>15</v>
      </c>
      <c r="D3" s="1" t="s">
        <v>36</v>
      </c>
    </row>
    <row r="4" spans="2:4" x14ac:dyDescent="0.55000000000000004">
      <c r="B4" s="1" t="s">
        <v>1</v>
      </c>
      <c r="C4" s="1" t="s">
        <v>16</v>
      </c>
      <c r="D4" s="1"/>
    </row>
    <row r="5" spans="2:4" x14ac:dyDescent="0.55000000000000004">
      <c r="B5" s="1" t="s">
        <v>2</v>
      </c>
      <c r="C5" s="1" t="s">
        <v>17</v>
      </c>
      <c r="D5" s="1"/>
    </row>
    <row r="6" spans="2:4" x14ac:dyDescent="0.55000000000000004">
      <c r="B6" s="1" t="s">
        <v>3</v>
      </c>
      <c r="C6" s="1" t="s">
        <v>18</v>
      </c>
      <c r="D6" s="1"/>
    </row>
    <row r="7" spans="2:4" x14ac:dyDescent="0.55000000000000004">
      <c r="B7" s="1" t="s">
        <v>4</v>
      </c>
      <c r="C7" s="1" t="s">
        <v>19</v>
      </c>
      <c r="D7" s="1"/>
    </row>
    <row r="8" spans="2:4" x14ac:dyDescent="0.55000000000000004">
      <c r="B8" s="1" t="s">
        <v>5</v>
      </c>
      <c r="C8" s="1" t="s">
        <v>20</v>
      </c>
      <c r="D8" s="1"/>
    </row>
    <row r="9" spans="2:4" x14ac:dyDescent="0.55000000000000004">
      <c r="B9" s="1" t="s">
        <v>6</v>
      </c>
      <c r="C9" s="1" t="s">
        <v>21</v>
      </c>
      <c r="D9" s="1" t="s">
        <v>22</v>
      </c>
    </row>
    <row r="10" spans="2:4" x14ac:dyDescent="0.55000000000000004">
      <c r="B10" s="1" t="s">
        <v>34</v>
      </c>
      <c r="C10" s="1" t="s">
        <v>23</v>
      </c>
      <c r="D10" s="1" t="s">
        <v>24</v>
      </c>
    </row>
    <row r="11" spans="2:4" x14ac:dyDescent="0.55000000000000004">
      <c r="B11" s="1" t="s">
        <v>35</v>
      </c>
      <c r="C11" s="1" t="s">
        <v>25</v>
      </c>
      <c r="D11" s="1"/>
    </row>
    <row r="12" spans="2:4" x14ac:dyDescent="0.55000000000000004">
      <c r="B12" s="1" t="s">
        <v>7</v>
      </c>
      <c r="C12" s="1" t="s">
        <v>26</v>
      </c>
      <c r="D12" s="1"/>
    </row>
    <row r="13" spans="2:4" x14ac:dyDescent="0.55000000000000004">
      <c r="B13" s="1" t="s">
        <v>8</v>
      </c>
      <c r="C13" s="1" t="s">
        <v>27</v>
      </c>
      <c r="D13" s="1"/>
    </row>
    <row r="14" spans="2:4" x14ac:dyDescent="0.55000000000000004">
      <c r="B14" s="1" t="s">
        <v>9</v>
      </c>
      <c r="C14" s="1" t="s">
        <v>28</v>
      </c>
      <c r="D14" s="1" t="s">
        <v>29</v>
      </c>
    </row>
    <row r="15" spans="2:4" x14ac:dyDescent="0.55000000000000004">
      <c r="B15" s="1" t="s">
        <v>10</v>
      </c>
      <c r="C15" s="1" t="s">
        <v>30</v>
      </c>
      <c r="D15" s="1"/>
    </row>
    <row r="16" spans="2:4" x14ac:dyDescent="0.55000000000000004">
      <c r="B16" s="1" t="s">
        <v>11</v>
      </c>
      <c r="C16" s="1" t="s">
        <v>31</v>
      </c>
      <c r="D16" s="1"/>
    </row>
    <row r="17" spans="2:4" x14ac:dyDescent="0.55000000000000004">
      <c r="B17" s="1" t="s">
        <v>12</v>
      </c>
      <c r="C17" s="1" t="s">
        <v>32</v>
      </c>
      <c r="D17" s="1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17302-A882-4677-9E35-3C00F53DDFD9}">
  <sheetPr codeName="Sheet3"/>
  <dimension ref="B2:P26"/>
  <sheetViews>
    <sheetView topLeftCell="A18" workbookViewId="0">
      <selection activeCell="C25" sqref="C25:C26"/>
    </sheetView>
  </sheetViews>
  <sheetFormatPr defaultRowHeight="18" x14ac:dyDescent="0.55000000000000004"/>
  <cols>
    <col min="2" max="2" width="25.33203125" customWidth="1"/>
    <col min="8" max="8" width="11.75" bestFit="1" customWidth="1"/>
    <col min="15" max="15" width="23.9140625" bestFit="1" customWidth="1"/>
  </cols>
  <sheetData>
    <row r="2" spans="2:16" ht="20" x14ac:dyDescent="0.55000000000000004">
      <c r="B2" s="6" t="s">
        <v>41</v>
      </c>
    </row>
    <row r="4" spans="2:16" x14ac:dyDescent="0.55000000000000004">
      <c r="B4" t="s">
        <v>57</v>
      </c>
      <c r="O4" s="9"/>
      <c r="P4" s="9"/>
    </row>
    <row r="5" spans="2:16" x14ac:dyDescent="0.55000000000000004">
      <c r="O5" s="9"/>
      <c r="P5" s="9"/>
    </row>
    <row r="6" spans="2:16" x14ac:dyDescent="0.55000000000000004">
      <c r="B6" s="4" t="s">
        <v>37</v>
      </c>
      <c r="C6" s="4" t="s">
        <v>42</v>
      </c>
      <c r="D6" s="4" t="s">
        <v>43</v>
      </c>
      <c r="E6" s="4" t="s">
        <v>44</v>
      </c>
      <c r="F6" s="4" t="s">
        <v>45</v>
      </c>
      <c r="G6" s="4" t="s">
        <v>46</v>
      </c>
      <c r="H6" s="4" t="s">
        <v>47</v>
      </c>
      <c r="I6" s="4" t="s">
        <v>48</v>
      </c>
      <c r="J6" s="4" t="s">
        <v>49</v>
      </c>
      <c r="K6" s="4" t="s">
        <v>50</v>
      </c>
      <c r="O6" s="9"/>
      <c r="P6" s="9"/>
    </row>
    <row r="7" spans="2:16" x14ac:dyDescent="0.55000000000000004">
      <c r="B7" s="4" t="s">
        <v>38</v>
      </c>
      <c r="C7" s="1"/>
      <c r="D7" s="1"/>
      <c r="E7" s="1"/>
      <c r="F7" s="1"/>
      <c r="G7" s="1"/>
      <c r="H7" s="1"/>
      <c r="I7" s="1"/>
      <c r="J7" s="1"/>
      <c r="K7" s="8"/>
      <c r="O7" s="9"/>
      <c r="P7" s="9"/>
    </row>
    <row r="8" spans="2:16" x14ac:dyDescent="0.55000000000000004">
      <c r="B8" s="4" t="s">
        <v>39</v>
      </c>
      <c r="C8" s="1"/>
      <c r="D8" s="1"/>
      <c r="E8" s="1"/>
      <c r="F8" s="1"/>
      <c r="G8" s="1"/>
      <c r="H8" s="1"/>
      <c r="I8" s="1"/>
      <c r="J8" s="1"/>
      <c r="K8" s="8"/>
      <c r="O8" s="9"/>
      <c r="P8" s="9"/>
    </row>
    <row r="9" spans="2:16" x14ac:dyDescent="0.55000000000000004">
      <c r="B9" s="4" t="s">
        <v>40</v>
      </c>
      <c r="C9" s="1"/>
      <c r="D9" s="1"/>
      <c r="E9" s="1"/>
      <c r="F9" s="1"/>
      <c r="G9" s="1"/>
      <c r="H9" s="1"/>
      <c r="I9" s="1"/>
      <c r="J9" s="1"/>
      <c r="K9" s="8"/>
      <c r="O9" s="9"/>
      <c r="P9" s="9"/>
    </row>
    <row r="12" spans="2:16" x14ac:dyDescent="0.55000000000000004">
      <c r="B12" t="s">
        <v>58</v>
      </c>
    </row>
    <row r="14" spans="2:16" x14ac:dyDescent="0.55000000000000004">
      <c r="B14" s="2" t="s">
        <v>37</v>
      </c>
      <c r="C14" s="2" t="s">
        <v>42</v>
      </c>
      <c r="D14" s="2" t="s">
        <v>43</v>
      </c>
      <c r="E14" s="2" t="s">
        <v>44</v>
      </c>
      <c r="F14" s="2" t="s">
        <v>45</v>
      </c>
      <c r="G14" s="2" t="s">
        <v>46</v>
      </c>
      <c r="H14" s="2" t="s">
        <v>47</v>
      </c>
      <c r="I14" s="2" t="s">
        <v>48</v>
      </c>
      <c r="J14" s="2" t="s">
        <v>49</v>
      </c>
      <c r="K14" s="2" t="s">
        <v>50</v>
      </c>
    </row>
    <row r="15" spans="2:16" x14ac:dyDescent="0.55000000000000004">
      <c r="B15" s="2" t="s">
        <v>59</v>
      </c>
      <c r="C15" s="1"/>
      <c r="D15" s="1"/>
      <c r="E15" s="1"/>
      <c r="F15" s="1"/>
      <c r="G15" s="1"/>
      <c r="H15" s="1"/>
      <c r="I15" s="1"/>
      <c r="J15" s="1"/>
      <c r="K15" s="8"/>
    </row>
    <row r="16" spans="2:16" x14ac:dyDescent="0.55000000000000004">
      <c r="B16" s="2" t="s">
        <v>60</v>
      </c>
      <c r="C16" s="1"/>
      <c r="D16" s="1"/>
      <c r="E16" s="1"/>
      <c r="F16" s="1"/>
      <c r="G16" s="1"/>
      <c r="H16" s="1"/>
      <c r="I16" s="1"/>
      <c r="J16" s="1"/>
      <c r="K16" s="8"/>
    </row>
    <row r="17" spans="2:11" x14ac:dyDescent="0.55000000000000004">
      <c r="B17" s="2" t="s">
        <v>50</v>
      </c>
      <c r="C17" s="1"/>
      <c r="D17" s="1"/>
      <c r="E17" s="1"/>
      <c r="F17" s="1"/>
      <c r="G17" s="1"/>
      <c r="H17" s="1"/>
      <c r="I17" s="1"/>
      <c r="J17" s="1"/>
      <c r="K17" s="8"/>
    </row>
    <row r="21" spans="2:11" x14ac:dyDescent="0.55000000000000004">
      <c r="B21" s="5" t="s">
        <v>55</v>
      </c>
      <c r="C21" s="5" t="s">
        <v>56</v>
      </c>
    </row>
    <row r="22" spans="2:11" x14ac:dyDescent="0.55000000000000004">
      <c r="B22" s="1" t="s">
        <v>51</v>
      </c>
      <c r="C22" s="1">
        <v>329</v>
      </c>
    </row>
    <row r="23" spans="2:11" x14ac:dyDescent="0.55000000000000004">
      <c r="B23" s="1" t="s">
        <v>52</v>
      </c>
      <c r="C23" s="1">
        <v>9</v>
      </c>
    </row>
    <row r="24" spans="2:11" x14ac:dyDescent="0.55000000000000004">
      <c r="B24" s="1" t="s">
        <v>53</v>
      </c>
      <c r="C24" s="1">
        <v>0</v>
      </c>
    </row>
    <row r="25" spans="2:11" x14ac:dyDescent="0.55000000000000004">
      <c r="B25" s="1" t="s">
        <v>54</v>
      </c>
      <c r="C25" s="8">
        <f>SUM(C23:C24)</f>
        <v>9</v>
      </c>
    </row>
    <row r="26" spans="2:11" x14ac:dyDescent="0.55000000000000004">
      <c r="B26" s="7" t="s">
        <v>62</v>
      </c>
      <c r="C26" s="8">
        <f>IF(C25=0,0,ROUND((C25/C22)*100,1))</f>
        <v>2.7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24047-43B8-480B-9679-52D0B9F1F6B1}">
  <sheetPr codeName="Sheet4"/>
  <dimension ref="B2:P26"/>
  <sheetViews>
    <sheetView workbookViewId="0">
      <selection activeCell="B2" sqref="B2"/>
    </sheetView>
  </sheetViews>
  <sheetFormatPr defaultRowHeight="18" x14ac:dyDescent="0.55000000000000004"/>
  <cols>
    <col min="2" max="2" width="25.33203125" customWidth="1"/>
    <col min="8" max="8" width="11.75" bestFit="1" customWidth="1"/>
    <col min="15" max="15" width="23.9140625" bestFit="1" customWidth="1"/>
  </cols>
  <sheetData>
    <row r="2" spans="2:16" ht="20" x14ac:dyDescent="0.55000000000000004">
      <c r="B2" s="6" t="s">
        <v>63</v>
      </c>
    </row>
    <row r="4" spans="2:16" x14ac:dyDescent="0.55000000000000004">
      <c r="B4" t="s">
        <v>57</v>
      </c>
      <c r="O4" s="9"/>
      <c r="P4" s="9"/>
    </row>
    <row r="5" spans="2:16" x14ac:dyDescent="0.55000000000000004">
      <c r="O5" s="9"/>
      <c r="P5" s="9"/>
    </row>
    <row r="6" spans="2:16" x14ac:dyDescent="0.55000000000000004">
      <c r="B6" s="4" t="s">
        <v>37</v>
      </c>
      <c r="C6" s="4" t="s">
        <v>42</v>
      </c>
      <c r="D6" s="4" t="s">
        <v>43</v>
      </c>
      <c r="E6" s="4" t="s">
        <v>44</v>
      </c>
      <c r="F6" s="4" t="s">
        <v>45</v>
      </c>
      <c r="G6" s="4" t="s">
        <v>46</v>
      </c>
      <c r="H6" s="4" t="s">
        <v>47</v>
      </c>
      <c r="I6" s="4" t="s">
        <v>48</v>
      </c>
      <c r="J6" s="4" t="s">
        <v>50</v>
      </c>
      <c r="N6" s="9"/>
      <c r="O6" s="9"/>
    </row>
    <row r="7" spans="2:16" x14ac:dyDescent="0.55000000000000004">
      <c r="B7" s="4" t="s">
        <v>38</v>
      </c>
      <c r="C7" s="1"/>
      <c r="D7" s="1"/>
      <c r="E7" s="1"/>
      <c r="F7" s="1"/>
      <c r="G7" s="1"/>
      <c r="H7" s="1"/>
      <c r="I7" s="1"/>
      <c r="J7" s="8"/>
      <c r="N7" s="9"/>
      <c r="O7" s="9"/>
    </row>
    <row r="8" spans="2:16" x14ac:dyDescent="0.55000000000000004">
      <c r="B8" s="4" t="s">
        <v>39</v>
      </c>
      <c r="C8" s="1"/>
      <c r="D8" s="1"/>
      <c r="E8" s="1"/>
      <c r="F8" s="1"/>
      <c r="G8" s="1"/>
      <c r="H8" s="1"/>
      <c r="I8" s="1"/>
      <c r="J8" s="8"/>
      <c r="N8" s="9"/>
      <c r="O8" s="9"/>
    </row>
    <row r="9" spans="2:16" x14ac:dyDescent="0.55000000000000004">
      <c r="B9" s="4" t="s">
        <v>40</v>
      </c>
      <c r="C9" s="1"/>
      <c r="D9" s="1"/>
      <c r="E9" s="1"/>
      <c r="F9" s="1"/>
      <c r="G9" s="1"/>
      <c r="H9" s="1"/>
      <c r="I9" s="1"/>
      <c r="J9" s="8"/>
      <c r="N9" s="9"/>
      <c r="O9" s="9"/>
    </row>
    <row r="12" spans="2:16" x14ac:dyDescent="0.55000000000000004">
      <c r="B12" t="s">
        <v>58</v>
      </c>
    </row>
    <row r="14" spans="2:16" x14ac:dyDescent="0.55000000000000004">
      <c r="B14" s="2" t="s">
        <v>37</v>
      </c>
      <c r="C14" s="2" t="s">
        <v>42</v>
      </c>
      <c r="D14" s="2" t="s">
        <v>43</v>
      </c>
      <c r="E14" s="2" t="s">
        <v>44</v>
      </c>
      <c r="F14" s="2" t="s">
        <v>45</v>
      </c>
      <c r="G14" s="2" t="s">
        <v>46</v>
      </c>
      <c r="H14" s="2" t="s">
        <v>47</v>
      </c>
      <c r="I14" s="2" t="s">
        <v>48</v>
      </c>
      <c r="J14" s="2" t="s">
        <v>50</v>
      </c>
    </row>
    <row r="15" spans="2:16" x14ac:dyDescent="0.55000000000000004">
      <c r="B15" s="2" t="s">
        <v>59</v>
      </c>
      <c r="C15" s="1"/>
      <c r="D15" s="1"/>
      <c r="E15" s="1"/>
      <c r="F15" s="1"/>
      <c r="G15" s="1"/>
      <c r="H15" s="1"/>
      <c r="I15" s="1"/>
      <c r="J15" s="8"/>
    </row>
    <row r="16" spans="2:16" x14ac:dyDescent="0.55000000000000004">
      <c r="B16" s="2" t="s">
        <v>60</v>
      </c>
      <c r="C16" s="1"/>
      <c r="D16" s="1"/>
      <c r="E16" s="1"/>
      <c r="F16" s="1"/>
      <c r="G16" s="1"/>
      <c r="H16" s="1"/>
      <c r="I16" s="1"/>
      <c r="J16" s="8"/>
    </row>
    <row r="17" spans="2:10" x14ac:dyDescent="0.55000000000000004">
      <c r="B17" s="2" t="s">
        <v>50</v>
      </c>
      <c r="C17" s="1"/>
      <c r="D17" s="1"/>
      <c r="E17" s="1"/>
      <c r="F17" s="1"/>
      <c r="G17" s="1"/>
      <c r="H17" s="1"/>
      <c r="I17" s="1"/>
      <c r="J17" s="8"/>
    </row>
    <row r="21" spans="2:10" x14ac:dyDescent="0.55000000000000004">
      <c r="B21" s="5" t="s">
        <v>55</v>
      </c>
      <c r="C21" s="5" t="s">
        <v>56</v>
      </c>
    </row>
    <row r="22" spans="2:10" x14ac:dyDescent="0.55000000000000004">
      <c r="B22" s="1" t="s">
        <v>51</v>
      </c>
      <c r="C22" s="1">
        <v>115</v>
      </c>
    </row>
    <row r="23" spans="2:10" x14ac:dyDescent="0.55000000000000004">
      <c r="B23" s="1" t="s">
        <v>52</v>
      </c>
      <c r="C23" s="1">
        <v>5</v>
      </c>
    </row>
    <row r="24" spans="2:10" x14ac:dyDescent="0.55000000000000004">
      <c r="B24" s="1" t="s">
        <v>53</v>
      </c>
      <c r="C24" s="1">
        <v>0</v>
      </c>
    </row>
    <row r="25" spans="2:10" x14ac:dyDescent="0.55000000000000004">
      <c r="B25" s="1" t="s">
        <v>54</v>
      </c>
      <c r="C25" s="8">
        <f>SUM(C23:C24)</f>
        <v>5</v>
      </c>
    </row>
    <row r="26" spans="2:10" x14ac:dyDescent="0.55000000000000004">
      <c r="B26" s="7" t="s">
        <v>62</v>
      </c>
      <c r="C26" s="8">
        <f>IF(C25=0,0,ROUND((C25/C22)*100,1))</f>
        <v>4.3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EADA9-6305-4987-90D0-79589FC4CD36}">
  <sheetPr codeName="Sheet5"/>
  <dimension ref="B2:P26"/>
  <sheetViews>
    <sheetView workbookViewId="0">
      <selection activeCell="B2" sqref="B2"/>
    </sheetView>
  </sheetViews>
  <sheetFormatPr defaultRowHeight="18" x14ac:dyDescent="0.55000000000000004"/>
  <cols>
    <col min="2" max="2" width="25.33203125" customWidth="1"/>
    <col min="8" max="8" width="11.75" bestFit="1" customWidth="1"/>
    <col min="15" max="15" width="23.9140625" bestFit="1" customWidth="1"/>
  </cols>
  <sheetData>
    <row r="2" spans="2:16" ht="20" x14ac:dyDescent="0.55000000000000004">
      <c r="B2" s="6" t="s">
        <v>64</v>
      </c>
    </row>
    <row r="4" spans="2:16" x14ac:dyDescent="0.55000000000000004">
      <c r="B4" t="s">
        <v>57</v>
      </c>
      <c r="O4" s="9"/>
      <c r="P4" s="9"/>
    </row>
    <row r="5" spans="2:16" x14ac:dyDescent="0.55000000000000004">
      <c r="O5" s="9"/>
      <c r="P5" s="9"/>
    </row>
    <row r="6" spans="2:16" x14ac:dyDescent="0.55000000000000004">
      <c r="B6" s="4" t="s">
        <v>37</v>
      </c>
      <c r="C6" s="4" t="s">
        <v>42</v>
      </c>
      <c r="D6" s="4" t="s">
        <v>43</v>
      </c>
      <c r="E6" s="4" t="s">
        <v>44</v>
      </c>
      <c r="F6" s="4" t="s">
        <v>45</v>
      </c>
      <c r="G6" s="4" t="s">
        <v>46</v>
      </c>
      <c r="H6" s="4" t="s">
        <v>47</v>
      </c>
      <c r="I6" s="4" t="s">
        <v>48</v>
      </c>
      <c r="J6" s="4" t="s">
        <v>49</v>
      </c>
      <c r="K6" s="4" t="s">
        <v>50</v>
      </c>
      <c r="O6" s="9"/>
      <c r="P6" s="9"/>
    </row>
    <row r="7" spans="2:16" x14ac:dyDescent="0.55000000000000004">
      <c r="B7" s="4" t="s">
        <v>38</v>
      </c>
      <c r="C7" s="1"/>
      <c r="D7" s="1"/>
      <c r="E7" s="1"/>
      <c r="F7" s="1"/>
      <c r="G7" s="1"/>
      <c r="H7" s="1"/>
      <c r="I7" s="1"/>
      <c r="J7" s="1"/>
      <c r="K7" s="8"/>
      <c r="O7" s="9"/>
      <c r="P7" s="9"/>
    </row>
    <row r="8" spans="2:16" x14ac:dyDescent="0.55000000000000004">
      <c r="B8" s="4" t="s">
        <v>39</v>
      </c>
      <c r="C8" s="1"/>
      <c r="D8" s="1"/>
      <c r="E8" s="1"/>
      <c r="F8" s="1"/>
      <c r="G8" s="1"/>
      <c r="H8" s="1"/>
      <c r="I8" s="1"/>
      <c r="J8" s="1"/>
      <c r="K8" s="8"/>
      <c r="O8" s="9"/>
      <c r="P8" s="9"/>
    </row>
    <row r="9" spans="2:16" x14ac:dyDescent="0.55000000000000004">
      <c r="B9" s="4" t="s">
        <v>40</v>
      </c>
      <c r="C9" s="1"/>
      <c r="D9" s="1"/>
      <c r="E9" s="1"/>
      <c r="F9" s="1"/>
      <c r="G9" s="1"/>
      <c r="H9" s="1"/>
      <c r="I9" s="1"/>
      <c r="J9" s="1"/>
      <c r="K9" s="8"/>
      <c r="O9" s="9"/>
      <c r="P9" s="9"/>
    </row>
    <row r="12" spans="2:16" x14ac:dyDescent="0.55000000000000004">
      <c r="B12" t="s">
        <v>58</v>
      </c>
    </row>
    <row r="14" spans="2:16" x14ac:dyDescent="0.55000000000000004">
      <c r="B14" s="2" t="s">
        <v>37</v>
      </c>
      <c r="C14" s="2" t="s">
        <v>42</v>
      </c>
      <c r="D14" s="2" t="s">
        <v>43</v>
      </c>
      <c r="E14" s="2" t="s">
        <v>44</v>
      </c>
      <c r="F14" s="2" t="s">
        <v>45</v>
      </c>
      <c r="G14" s="2" t="s">
        <v>46</v>
      </c>
      <c r="H14" s="2" t="s">
        <v>47</v>
      </c>
      <c r="I14" s="2" t="s">
        <v>48</v>
      </c>
      <c r="J14" s="2" t="s">
        <v>49</v>
      </c>
      <c r="K14" s="2" t="s">
        <v>50</v>
      </c>
    </row>
    <row r="15" spans="2:16" x14ac:dyDescent="0.55000000000000004">
      <c r="B15" s="2" t="s">
        <v>59</v>
      </c>
      <c r="C15" s="1"/>
      <c r="D15" s="1"/>
      <c r="E15" s="1"/>
      <c r="F15" s="1"/>
      <c r="G15" s="1"/>
      <c r="H15" s="1"/>
      <c r="I15" s="1"/>
      <c r="J15" s="1"/>
      <c r="K15" s="8"/>
    </row>
    <row r="16" spans="2:16" x14ac:dyDescent="0.55000000000000004">
      <c r="B16" s="2" t="s">
        <v>60</v>
      </c>
      <c r="C16" s="1"/>
      <c r="D16" s="1"/>
      <c r="E16" s="1"/>
      <c r="F16" s="1"/>
      <c r="G16" s="1"/>
      <c r="H16" s="1"/>
      <c r="I16" s="1"/>
      <c r="J16" s="1"/>
      <c r="K16" s="8"/>
    </row>
    <row r="17" spans="2:11" x14ac:dyDescent="0.55000000000000004">
      <c r="B17" s="2" t="s">
        <v>50</v>
      </c>
      <c r="C17" s="1"/>
      <c r="D17" s="1"/>
      <c r="E17" s="1"/>
      <c r="F17" s="1"/>
      <c r="G17" s="1"/>
      <c r="H17" s="1"/>
      <c r="I17" s="1"/>
      <c r="J17" s="1"/>
      <c r="K17" s="8"/>
    </row>
    <row r="21" spans="2:11" x14ac:dyDescent="0.55000000000000004">
      <c r="B21" s="5" t="s">
        <v>55</v>
      </c>
      <c r="C21" s="5" t="s">
        <v>56</v>
      </c>
    </row>
    <row r="22" spans="2:11" x14ac:dyDescent="0.55000000000000004">
      <c r="B22" s="1" t="s">
        <v>51</v>
      </c>
      <c r="C22" s="1">
        <v>2353</v>
      </c>
    </row>
    <row r="23" spans="2:11" x14ac:dyDescent="0.55000000000000004">
      <c r="B23" s="1" t="s">
        <v>52</v>
      </c>
      <c r="C23" s="1">
        <v>91</v>
      </c>
    </row>
    <row r="24" spans="2:11" x14ac:dyDescent="0.55000000000000004">
      <c r="B24" s="1" t="s">
        <v>53</v>
      </c>
      <c r="C24" s="1">
        <v>0</v>
      </c>
    </row>
    <row r="25" spans="2:11" x14ac:dyDescent="0.55000000000000004">
      <c r="B25" s="1" t="s">
        <v>54</v>
      </c>
      <c r="C25" s="8">
        <f>SUM(C23:C24)</f>
        <v>91</v>
      </c>
    </row>
    <row r="26" spans="2:11" x14ac:dyDescent="0.55000000000000004">
      <c r="B26" s="7" t="s">
        <v>62</v>
      </c>
      <c r="C26" s="8">
        <f>IF(C25=0,0,ROUND((C25/C22)*100,1))</f>
        <v>3.9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8A875-843D-44B8-B106-105933445E5F}">
  <sheetPr codeName="Sheet6"/>
  <dimension ref="B2:P26"/>
  <sheetViews>
    <sheetView workbookViewId="0">
      <selection activeCell="B2" sqref="B2"/>
    </sheetView>
  </sheetViews>
  <sheetFormatPr defaultRowHeight="18" x14ac:dyDescent="0.55000000000000004"/>
  <cols>
    <col min="2" max="2" width="25.33203125" customWidth="1"/>
    <col min="8" max="8" width="11.75" bestFit="1" customWidth="1"/>
    <col min="15" max="15" width="23.9140625" bestFit="1" customWidth="1"/>
  </cols>
  <sheetData>
    <row r="2" spans="2:16" ht="20" x14ac:dyDescent="0.55000000000000004">
      <c r="B2" s="6" t="s">
        <v>65</v>
      </c>
    </row>
    <row r="4" spans="2:16" x14ac:dyDescent="0.55000000000000004">
      <c r="B4" t="s">
        <v>57</v>
      </c>
      <c r="O4" s="9"/>
      <c r="P4" s="9"/>
    </row>
    <row r="5" spans="2:16" x14ac:dyDescent="0.55000000000000004">
      <c r="O5" s="9"/>
      <c r="P5" s="9"/>
    </row>
    <row r="6" spans="2:16" x14ac:dyDescent="0.55000000000000004">
      <c r="B6" s="4" t="s">
        <v>37</v>
      </c>
      <c r="C6" s="4" t="s">
        <v>42</v>
      </c>
      <c r="D6" s="4" t="s">
        <v>43</v>
      </c>
      <c r="E6" s="4" t="s">
        <v>44</v>
      </c>
      <c r="F6" s="4" t="s">
        <v>45</v>
      </c>
      <c r="G6" s="4" t="s">
        <v>46</v>
      </c>
      <c r="H6" s="4" t="s">
        <v>47</v>
      </c>
      <c r="I6" s="4" t="s">
        <v>48</v>
      </c>
      <c r="J6" s="4" t="s">
        <v>49</v>
      </c>
      <c r="K6" s="4" t="s">
        <v>50</v>
      </c>
      <c r="O6" s="9"/>
      <c r="P6" s="9"/>
    </row>
    <row r="7" spans="2:16" x14ac:dyDescent="0.55000000000000004">
      <c r="B7" s="4" t="s">
        <v>38</v>
      </c>
      <c r="C7" s="1"/>
      <c r="D7" s="1"/>
      <c r="E7" s="1"/>
      <c r="F7" s="1"/>
      <c r="G7" s="1"/>
      <c r="H7" s="1"/>
      <c r="I7" s="1"/>
      <c r="J7" s="1"/>
      <c r="K7" s="8"/>
      <c r="O7" s="9"/>
      <c r="P7" s="9"/>
    </row>
    <row r="8" spans="2:16" x14ac:dyDescent="0.55000000000000004">
      <c r="B8" s="4" t="s">
        <v>39</v>
      </c>
      <c r="C8" s="1"/>
      <c r="D8" s="1"/>
      <c r="E8" s="1"/>
      <c r="F8" s="1"/>
      <c r="G8" s="1"/>
      <c r="H8" s="1"/>
      <c r="I8" s="1"/>
      <c r="J8" s="1"/>
      <c r="K8" s="8"/>
      <c r="O8" s="9"/>
      <c r="P8" s="9"/>
    </row>
    <row r="9" spans="2:16" x14ac:dyDescent="0.55000000000000004">
      <c r="B9" s="4" t="s">
        <v>40</v>
      </c>
      <c r="C9" s="1"/>
      <c r="D9" s="1"/>
      <c r="E9" s="1"/>
      <c r="F9" s="1"/>
      <c r="G9" s="1"/>
      <c r="H9" s="1"/>
      <c r="I9" s="1"/>
      <c r="J9" s="1"/>
      <c r="K9" s="8"/>
      <c r="O9" s="9"/>
      <c r="P9" s="9"/>
    </row>
    <row r="12" spans="2:16" x14ac:dyDescent="0.55000000000000004">
      <c r="B12" t="s">
        <v>58</v>
      </c>
    </row>
    <row r="14" spans="2:16" x14ac:dyDescent="0.55000000000000004">
      <c r="B14" s="2" t="s">
        <v>37</v>
      </c>
      <c r="C14" s="2" t="s">
        <v>42</v>
      </c>
      <c r="D14" s="2" t="s">
        <v>43</v>
      </c>
      <c r="E14" s="2" t="s">
        <v>44</v>
      </c>
      <c r="F14" s="2" t="s">
        <v>45</v>
      </c>
      <c r="G14" s="2" t="s">
        <v>46</v>
      </c>
      <c r="H14" s="2" t="s">
        <v>47</v>
      </c>
      <c r="I14" s="2" t="s">
        <v>48</v>
      </c>
      <c r="J14" s="2" t="s">
        <v>49</v>
      </c>
      <c r="K14" s="2" t="s">
        <v>50</v>
      </c>
    </row>
    <row r="15" spans="2:16" x14ac:dyDescent="0.55000000000000004">
      <c r="B15" s="2" t="s">
        <v>59</v>
      </c>
      <c r="C15" s="1"/>
      <c r="D15" s="1"/>
      <c r="E15" s="1"/>
      <c r="F15" s="1"/>
      <c r="G15" s="1"/>
      <c r="H15" s="1"/>
      <c r="I15" s="1"/>
      <c r="J15" s="1"/>
      <c r="K15" s="8"/>
    </row>
    <row r="16" spans="2:16" x14ac:dyDescent="0.55000000000000004">
      <c r="B16" s="2" t="s">
        <v>60</v>
      </c>
      <c r="C16" s="1"/>
      <c r="D16" s="1"/>
      <c r="E16" s="1"/>
      <c r="F16" s="1"/>
      <c r="G16" s="1"/>
      <c r="H16" s="1"/>
      <c r="I16" s="1"/>
      <c r="J16" s="1"/>
      <c r="K16" s="8"/>
    </row>
    <row r="17" spans="2:11" x14ac:dyDescent="0.55000000000000004">
      <c r="B17" s="2" t="s">
        <v>50</v>
      </c>
      <c r="C17" s="1"/>
      <c r="D17" s="1"/>
      <c r="E17" s="1"/>
      <c r="F17" s="1"/>
      <c r="G17" s="1"/>
      <c r="H17" s="1"/>
      <c r="I17" s="1"/>
      <c r="J17" s="1"/>
      <c r="K17" s="8"/>
    </row>
    <row r="21" spans="2:11" x14ac:dyDescent="0.55000000000000004">
      <c r="B21" s="5" t="s">
        <v>55</v>
      </c>
      <c r="C21" s="5" t="s">
        <v>56</v>
      </c>
    </row>
    <row r="22" spans="2:11" x14ac:dyDescent="0.55000000000000004">
      <c r="B22" s="1" t="s">
        <v>51</v>
      </c>
      <c r="C22" s="1">
        <v>227</v>
      </c>
    </row>
    <row r="23" spans="2:11" x14ac:dyDescent="0.55000000000000004">
      <c r="B23" s="1" t="s">
        <v>52</v>
      </c>
      <c r="C23" s="1">
        <v>2</v>
      </c>
    </row>
    <row r="24" spans="2:11" x14ac:dyDescent="0.55000000000000004">
      <c r="B24" s="1" t="s">
        <v>53</v>
      </c>
      <c r="C24" s="1">
        <v>0</v>
      </c>
    </row>
    <row r="25" spans="2:11" x14ac:dyDescent="0.55000000000000004">
      <c r="B25" s="1" t="s">
        <v>54</v>
      </c>
      <c r="C25" s="8">
        <f>SUM(C23:C24)</f>
        <v>2</v>
      </c>
    </row>
    <row r="26" spans="2:11" x14ac:dyDescent="0.55000000000000004">
      <c r="B26" s="7" t="s">
        <v>62</v>
      </c>
      <c r="C26" s="8">
        <f>IF(C25=0,0,ROUND((C25/C22)*100,1))</f>
        <v>0.9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ABEFD-0515-4F9D-8EBB-272032EAE85A}">
  <sheetPr codeName="Sheet7"/>
  <dimension ref="B2:P26"/>
  <sheetViews>
    <sheetView topLeftCell="A18" workbookViewId="0">
      <selection activeCell="I3" sqref="I3"/>
    </sheetView>
  </sheetViews>
  <sheetFormatPr defaultRowHeight="18" x14ac:dyDescent="0.55000000000000004"/>
  <cols>
    <col min="2" max="2" width="25.33203125" customWidth="1"/>
    <col min="8" max="8" width="11.75" bestFit="1" customWidth="1"/>
    <col min="15" max="15" width="23.9140625" bestFit="1" customWidth="1"/>
  </cols>
  <sheetData>
    <row r="2" spans="2:16" ht="20" x14ac:dyDescent="0.55000000000000004">
      <c r="B2" s="6" t="s">
        <v>66</v>
      </c>
    </row>
    <row r="4" spans="2:16" x14ac:dyDescent="0.55000000000000004">
      <c r="B4" t="s">
        <v>57</v>
      </c>
      <c r="O4" s="9"/>
      <c r="P4" s="9"/>
    </row>
    <row r="5" spans="2:16" x14ac:dyDescent="0.55000000000000004">
      <c r="O5" s="9"/>
      <c r="P5" s="9"/>
    </row>
    <row r="6" spans="2:16" x14ac:dyDescent="0.55000000000000004">
      <c r="B6" s="4" t="s">
        <v>37</v>
      </c>
      <c r="C6" s="4" t="s">
        <v>42</v>
      </c>
      <c r="D6" s="4" t="s">
        <v>43</v>
      </c>
      <c r="E6" s="4" t="s">
        <v>44</v>
      </c>
      <c r="F6" s="4" t="s">
        <v>45</v>
      </c>
      <c r="G6" s="4" t="s">
        <v>46</v>
      </c>
      <c r="H6" s="4" t="s">
        <v>47</v>
      </c>
      <c r="I6" s="4" t="s">
        <v>48</v>
      </c>
      <c r="J6" s="4" t="s">
        <v>49</v>
      </c>
      <c r="K6" s="4" t="s">
        <v>50</v>
      </c>
      <c r="O6" s="9"/>
      <c r="P6" s="9"/>
    </row>
    <row r="7" spans="2:16" x14ac:dyDescent="0.55000000000000004">
      <c r="B7" s="4" t="s">
        <v>38</v>
      </c>
      <c r="C7" s="1"/>
      <c r="D7" s="1"/>
      <c r="E7" s="1"/>
      <c r="F7" s="1"/>
      <c r="G7" s="1"/>
      <c r="H7" s="1"/>
      <c r="I7" s="1"/>
      <c r="J7" s="1"/>
      <c r="K7" s="8"/>
      <c r="O7" s="9"/>
      <c r="P7" s="9"/>
    </row>
    <row r="8" spans="2:16" x14ac:dyDescent="0.55000000000000004">
      <c r="B8" s="4" t="s">
        <v>39</v>
      </c>
      <c r="C8" s="1"/>
      <c r="D8" s="1"/>
      <c r="E8" s="1"/>
      <c r="F8" s="1"/>
      <c r="G8" s="1"/>
      <c r="H8" s="1"/>
      <c r="I8" s="1"/>
      <c r="J8" s="1"/>
      <c r="K8" s="8"/>
      <c r="O8" s="9"/>
      <c r="P8" s="9"/>
    </row>
    <row r="9" spans="2:16" x14ac:dyDescent="0.55000000000000004">
      <c r="B9" s="4" t="s">
        <v>40</v>
      </c>
      <c r="C9" s="1"/>
      <c r="D9" s="1"/>
      <c r="E9" s="1"/>
      <c r="F9" s="1"/>
      <c r="G9" s="1"/>
      <c r="H9" s="1"/>
      <c r="I9" s="1"/>
      <c r="J9" s="1"/>
      <c r="K9" s="8"/>
      <c r="O9" s="9"/>
      <c r="P9" s="9"/>
    </row>
    <row r="12" spans="2:16" x14ac:dyDescent="0.55000000000000004">
      <c r="B12" t="s">
        <v>58</v>
      </c>
    </row>
    <row r="14" spans="2:16" x14ac:dyDescent="0.55000000000000004">
      <c r="B14" s="2" t="s">
        <v>37</v>
      </c>
      <c r="C14" s="2" t="s">
        <v>42</v>
      </c>
      <c r="D14" s="2" t="s">
        <v>43</v>
      </c>
      <c r="E14" s="2" t="s">
        <v>44</v>
      </c>
      <c r="F14" s="2" t="s">
        <v>45</v>
      </c>
      <c r="G14" s="2" t="s">
        <v>46</v>
      </c>
      <c r="H14" s="2" t="s">
        <v>47</v>
      </c>
      <c r="I14" s="2" t="s">
        <v>48</v>
      </c>
      <c r="J14" s="2" t="s">
        <v>49</v>
      </c>
      <c r="K14" s="2" t="s">
        <v>50</v>
      </c>
    </row>
    <row r="15" spans="2:16" x14ac:dyDescent="0.55000000000000004">
      <c r="B15" s="2" t="s">
        <v>59</v>
      </c>
      <c r="C15" s="1"/>
      <c r="D15" s="1"/>
      <c r="E15" s="1"/>
      <c r="F15" s="1"/>
      <c r="G15" s="1"/>
      <c r="H15" s="1"/>
      <c r="I15" s="1"/>
      <c r="J15" s="1"/>
      <c r="K15" s="8"/>
    </row>
    <row r="16" spans="2:16" x14ac:dyDescent="0.55000000000000004">
      <c r="B16" s="2" t="s">
        <v>60</v>
      </c>
      <c r="C16" s="1"/>
      <c r="D16" s="1"/>
      <c r="E16" s="1"/>
      <c r="F16" s="1"/>
      <c r="G16" s="1"/>
      <c r="H16" s="1"/>
      <c r="I16" s="1"/>
      <c r="J16" s="1"/>
      <c r="K16" s="8"/>
    </row>
    <row r="17" spans="2:11" x14ac:dyDescent="0.55000000000000004">
      <c r="B17" s="2" t="s">
        <v>50</v>
      </c>
      <c r="C17" s="1"/>
      <c r="D17" s="1"/>
      <c r="E17" s="1"/>
      <c r="F17" s="1"/>
      <c r="G17" s="1"/>
      <c r="H17" s="1"/>
      <c r="I17" s="1"/>
      <c r="J17" s="1"/>
      <c r="K17" s="8"/>
    </row>
    <row r="21" spans="2:11" x14ac:dyDescent="0.55000000000000004">
      <c r="B21" s="5" t="s">
        <v>55</v>
      </c>
      <c r="C21" s="5" t="s">
        <v>56</v>
      </c>
    </row>
    <row r="22" spans="2:11" x14ac:dyDescent="0.55000000000000004">
      <c r="B22" s="1" t="s">
        <v>51</v>
      </c>
      <c r="C22" s="1">
        <v>15818</v>
      </c>
    </row>
    <row r="23" spans="2:11" x14ac:dyDescent="0.55000000000000004">
      <c r="B23" s="1" t="s">
        <v>52</v>
      </c>
      <c r="C23" s="1">
        <v>579</v>
      </c>
    </row>
    <row r="24" spans="2:11" x14ac:dyDescent="0.55000000000000004">
      <c r="B24" s="1" t="s">
        <v>53</v>
      </c>
      <c r="C24" s="1">
        <v>0</v>
      </c>
    </row>
    <row r="25" spans="2:11" x14ac:dyDescent="0.55000000000000004">
      <c r="B25" s="1" t="s">
        <v>54</v>
      </c>
      <c r="C25" s="8">
        <f>SUM(C23:C24)</f>
        <v>579</v>
      </c>
    </row>
    <row r="26" spans="2:11" x14ac:dyDescent="0.55000000000000004">
      <c r="B26" s="7" t="s">
        <v>62</v>
      </c>
      <c r="C26" s="8">
        <f>IF(C25=0,0,ROUND((C25/C22)*100,1))</f>
        <v>3.7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8882B-BA6E-4F23-8776-A899A9481AB0}">
  <sheetPr codeName="Sheet8"/>
  <dimension ref="B2:P26"/>
  <sheetViews>
    <sheetView topLeftCell="A18" workbookViewId="0">
      <selection activeCell="E3" sqref="E3"/>
    </sheetView>
  </sheetViews>
  <sheetFormatPr defaultRowHeight="18" x14ac:dyDescent="0.55000000000000004"/>
  <cols>
    <col min="2" max="2" width="25.33203125" customWidth="1"/>
    <col min="8" max="8" width="11.75" bestFit="1" customWidth="1"/>
    <col min="15" max="15" width="23.9140625" bestFit="1" customWidth="1"/>
  </cols>
  <sheetData>
    <row r="2" spans="2:16" ht="20" x14ac:dyDescent="0.55000000000000004">
      <c r="B2" s="6" t="s">
        <v>67</v>
      </c>
    </row>
    <row r="4" spans="2:16" x14ac:dyDescent="0.55000000000000004">
      <c r="B4" t="s">
        <v>57</v>
      </c>
      <c r="O4" s="9"/>
      <c r="P4" s="9"/>
    </row>
    <row r="5" spans="2:16" x14ac:dyDescent="0.55000000000000004">
      <c r="O5" s="9"/>
      <c r="P5" s="9"/>
    </row>
    <row r="6" spans="2:16" x14ac:dyDescent="0.55000000000000004">
      <c r="B6" s="4" t="s">
        <v>37</v>
      </c>
      <c r="C6" s="4" t="s">
        <v>42</v>
      </c>
      <c r="D6" s="4" t="s">
        <v>43</v>
      </c>
      <c r="E6" s="4" t="s">
        <v>44</v>
      </c>
      <c r="F6" s="4" t="s">
        <v>45</v>
      </c>
      <c r="G6" s="4" t="s">
        <v>46</v>
      </c>
      <c r="H6" s="4" t="s">
        <v>47</v>
      </c>
      <c r="I6" s="4" t="s">
        <v>48</v>
      </c>
      <c r="J6" s="4" t="s">
        <v>49</v>
      </c>
      <c r="K6" s="4" t="s">
        <v>50</v>
      </c>
      <c r="O6" s="9"/>
      <c r="P6" s="9"/>
    </row>
    <row r="7" spans="2:16" x14ac:dyDescent="0.55000000000000004">
      <c r="B7" s="4" t="s">
        <v>38</v>
      </c>
      <c r="C7" s="1"/>
      <c r="D7" s="1"/>
      <c r="E7" s="1"/>
      <c r="F7" s="1"/>
      <c r="G7" s="1"/>
      <c r="H7" s="1"/>
      <c r="I7" s="1"/>
      <c r="J7" s="1"/>
      <c r="K7" s="8"/>
      <c r="O7" s="9"/>
      <c r="P7" s="9"/>
    </row>
    <row r="8" spans="2:16" x14ac:dyDescent="0.55000000000000004">
      <c r="B8" s="4" t="s">
        <v>39</v>
      </c>
      <c r="C8" s="1"/>
      <c r="D8" s="1"/>
      <c r="E8" s="1"/>
      <c r="F8" s="1"/>
      <c r="G8" s="1"/>
      <c r="H8" s="1"/>
      <c r="I8" s="1"/>
      <c r="J8" s="1"/>
      <c r="K8" s="8"/>
      <c r="O8" s="9"/>
      <c r="P8" s="9"/>
    </row>
    <row r="9" spans="2:16" x14ac:dyDescent="0.55000000000000004">
      <c r="B9" s="4" t="s">
        <v>40</v>
      </c>
      <c r="C9" s="1"/>
      <c r="D9" s="1"/>
      <c r="E9" s="1"/>
      <c r="F9" s="1"/>
      <c r="G9" s="1"/>
      <c r="H9" s="1"/>
      <c r="I9" s="1"/>
      <c r="J9" s="1"/>
      <c r="K9" s="8"/>
      <c r="O9" s="9"/>
      <c r="P9" s="9"/>
    </row>
    <row r="12" spans="2:16" x14ac:dyDescent="0.55000000000000004">
      <c r="B12" t="s">
        <v>58</v>
      </c>
    </row>
    <row r="14" spans="2:16" x14ac:dyDescent="0.55000000000000004">
      <c r="B14" s="2" t="s">
        <v>37</v>
      </c>
      <c r="C14" s="2" t="s">
        <v>42</v>
      </c>
      <c r="D14" s="2" t="s">
        <v>43</v>
      </c>
      <c r="E14" s="2" t="s">
        <v>44</v>
      </c>
      <c r="F14" s="2" t="s">
        <v>45</v>
      </c>
      <c r="G14" s="2" t="s">
        <v>46</v>
      </c>
      <c r="H14" s="2" t="s">
        <v>47</v>
      </c>
      <c r="I14" s="2" t="s">
        <v>48</v>
      </c>
      <c r="J14" s="2" t="s">
        <v>49</v>
      </c>
      <c r="K14" s="2" t="s">
        <v>50</v>
      </c>
    </row>
    <row r="15" spans="2:16" x14ac:dyDescent="0.55000000000000004">
      <c r="B15" s="2" t="s">
        <v>59</v>
      </c>
      <c r="C15" s="1"/>
      <c r="D15" s="1"/>
      <c r="E15" s="1"/>
      <c r="F15" s="1"/>
      <c r="G15" s="1"/>
      <c r="H15" s="1"/>
      <c r="I15" s="1"/>
      <c r="J15" s="1"/>
      <c r="K15" s="8"/>
    </row>
    <row r="16" spans="2:16" x14ac:dyDescent="0.55000000000000004">
      <c r="B16" s="2" t="s">
        <v>60</v>
      </c>
      <c r="C16" s="1"/>
      <c r="D16" s="1"/>
      <c r="E16" s="1"/>
      <c r="F16" s="1"/>
      <c r="G16" s="1"/>
      <c r="H16" s="1"/>
      <c r="I16" s="1"/>
      <c r="J16" s="1"/>
      <c r="K16" s="8"/>
    </row>
    <row r="17" spans="2:11" x14ac:dyDescent="0.55000000000000004">
      <c r="B17" s="2" t="s">
        <v>50</v>
      </c>
      <c r="C17" s="1"/>
      <c r="D17" s="1"/>
      <c r="E17" s="1"/>
      <c r="F17" s="1"/>
      <c r="G17" s="1"/>
      <c r="H17" s="1"/>
      <c r="I17" s="1"/>
      <c r="J17" s="1"/>
      <c r="K17" s="8"/>
    </row>
    <row r="21" spans="2:11" x14ac:dyDescent="0.55000000000000004">
      <c r="B21" s="5" t="s">
        <v>55</v>
      </c>
      <c r="C21" s="5" t="s">
        <v>56</v>
      </c>
    </row>
    <row r="22" spans="2:11" x14ac:dyDescent="0.55000000000000004">
      <c r="B22" s="1" t="s">
        <v>51</v>
      </c>
      <c r="C22" s="1">
        <v>649</v>
      </c>
    </row>
    <row r="23" spans="2:11" x14ac:dyDescent="0.55000000000000004">
      <c r="B23" s="1" t="s">
        <v>52</v>
      </c>
      <c r="C23" s="1">
        <v>12</v>
      </c>
    </row>
    <row r="24" spans="2:11" x14ac:dyDescent="0.55000000000000004">
      <c r="B24" s="1" t="s">
        <v>53</v>
      </c>
      <c r="C24" s="1">
        <v>0</v>
      </c>
    </row>
    <row r="25" spans="2:11" x14ac:dyDescent="0.55000000000000004">
      <c r="B25" s="1" t="s">
        <v>54</v>
      </c>
      <c r="C25" s="8">
        <f>SUM(C23:C24)</f>
        <v>12</v>
      </c>
    </row>
    <row r="26" spans="2:11" x14ac:dyDescent="0.55000000000000004">
      <c r="B26" s="7" t="s">
        <v>62</v>
      </c>
      <c r="C26" s="8">
        <f>IF(C25=0,0,ROUND((C25/C22)*100,1))</f>
        <v>1.8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184A-9CFE-4142-98AC-147F853BFBEC}">
  <sheetPr codeName="Sheet9"/>
  <dimension ref="B2:P26"/>
  <sheetViews>
    <sheetView topLeftCell="A15" workbookViewId="0">
      <selection activeCell="E4" sqref="E4"/>
    </sheetView>
  </sheetViews>
  <sheetFormatPr defaultRowHeight="18" x14ac:dyDescent="0.55000000000000004"/>
  <cols>
    <col min="2" max="2" width="25.33203125" customWidth="1"/>
    <col min="8" max="8" width="11.75" bestFit="1" customWidth="1"/>
    <col min="15" max="15" width="23.9140625" bestFit="1" customWidth="1"/>
  </cols>
  <sheetData>
    <row r="2" spans="2:16" ht="20" x14ac:dyDescent="0.55000000000000004">
      <c r="B2" s="6" t="s">
        <v>68</v>
      </c>
    </row>
    <row r="4" spans="2:16" x14ac:dyDescent="0.55000000000000004">
      <c r="B4" t="s">
        <v>57</v>
      </c>
      <c r="O4" s="9"/>
      <c r="P4" s="9"/>
    </row>
    <row r="5" spans="2:16" x14ac:dyDescent="0.55000000000000004">
      <c r="O5" s="9"/>
      <c r="P5" s="9"/>
    </row>
    <row r="6" spans="2:16" x14ac:dyDescent="0.55000000000000004">
      <c r="B6" s="4" t="s">
        <v>37</v>
      </c>
      <c r="C6" s="4" t="s">
        <v>42</v>
      </c>
      <c r="D6" s="4" t="s">
        <v>43</v>
      </c>
      <c r="E6" s="4" t="s">
        <v>44</v>
      </c>
      <c r="F6" s="4" t="s">
        <v>45</v>
      </c>
      <c r="G6" s="4" t="s">
        <v>46</v>
      </c>
      <c r="H6" s="4" t="s">
        <v>47</v>
      </c>
      <c r="I6" s="4" t="s">
        <v>48</v>
      </c>
      <c r="J6" s="4" t="s">
        <v>49</v>
      </c>
      <c r="K6" s="4" t="s">
        <v>50</v>
      </c>
      <c r="O6" s="9"/>
      <c r="P6" s="9"/>
    </row>
    <row r="7" spans="2:16" x14ac:dyDescent="0.55000000000000004">
      <c r="B7" s="4" t="s">
        <v>38</v>
      </c>
      <c r="C7" s="1"/>
      <c r="D7" s="1"/>
      <c r="E7" s="1"/>
      <c r="F7" s="1"/>
      <c r="G7" s="1"/>
      <c r="H7" s="1"/>
      <c r="I7" s="1"/>
      <c r="J7" s="1"/>
      <c r="K7" s="8"/>
      <c r="O7" s="9"/>
      <c r="P7" s="9"/>
    </row>
    <row r="8" spans="2:16" x14ac:dyDescent="0.55000000000000004">
      <c r="B8" s="4" t="s">
        <v>39</v>
      </c>
      <c r="C8" s="1"/>
      <c r="D8" s="1"/>
      <c r="E8" s="1"/>
      <c r="F8" s="1"/>
      <c r="G8" s="1"/>
      <c r="H8" s="1"/>
      <c r="I8" s="1"/>
      <c r="J8" s="1"/>
      <c r="K8" s="8"/>
      <c r="O8" s="9"/>
      <c r="P8" s="9"/>
    </row>
    <row r="9" spans="2:16" x14ac:dyDescent="0.55000000000000004">
      <c r="B9" s="4" t="s">
        <v>40</v>
      </c>
      <c r="C9" s="1"/>
      <c r="D9" s="1"/>
      <c r="E9" s="1"/>
      <c r="F9" s="1"/>
      <c r="G9" s="1"/>
      <c r="H9" s="1"/>
      <c r="I9" s="1"/>
      <c r="J9" s="1"/>
      <c r="K9" s="8"/>
      <c r="O9" s="9"/>
      <c r="P9" s="9"/>
    </row>
    <row r="12" spans="2:16" x14ac:dyDescent="0.55000000000000004">
      <c r="B12" t="s">
        <v>58</v>
      </c>
    </row>
    <row r="14" spans="2:16" x14ac:dyDescent="0.55000000000000004">
      <c r="B14" s="2" t="s">
        <v>37</v>
      </c>
      <c r="C14" s="2" t="s">
        <v>42</v>
      </c>
      <c r="D14" s="2" t="s">
        <v>43</v>
      </c>
      <c r="E14" s="2" t="s">
        <v>44</v>
      </c>
      <c r="F14" s="2" t="s">
        <v>45</v>
      </c>
      <c r="G14" s="2" t="s">
        <v>46</v>
      </c>
      <c r="H14" s="2" t="s">
        <v>47</v>
      </c>
      <c r="I14" s="2" t="s">
        <v>48</v>
      </c>
      <c r="J14" s="2" t="s">
        <v>49</v>
      </c>
      <c r="K14" s="2" t="s">
        <v>50</v>
      </c>
    </row>
    <row r="15" spans="2:16" x14ac:dyDescent="0.55000000000000004">
      <c r="B15" s="2" t="s">
        <v>59</v>
      </c>
      <c r="C15" s="1"/>
      <c r="D15" s="1"/>
      <c r="E15" s="1"/>
      <c r="F15" s="1"/>
      <c r="G15" s="1"/>
      <c r="H15" s="1"/>
      <c r="I15" s="1"/>
      <c r="J15" s="1"/>
      <c r="K15" s="8"/>
    </row>
    <row r="16" spans="2:16" x14ac:dyDescent="0.55000000000000004">
      <c r="B16" s="2" t="s">
        <v>60</v>
      </c>
      <c r="C16" s="1"/>
      <c r="D16" s="1"/>
      <c r="E16" s="1"/>
      <c r="F16" s="1"/>
      <c r="G16" s="1"/>
      <c r="H16" s="1"/>
      <c r="I16" s="1"/>
      <c r="J16" s="1"/>
      <c r="K16" s="8"/>
    </row>
    <row r="17" spans="2:11" x14ac:dyDescent="0.55000000000000004">
      <c r="B17" s="2" t="s">
        <v>50</v>
      </c>
      <c r="C17" s="1"/>
      <c r="D17" s="1"/>
      <c r="E17" s="1"/>
      <c r="F17" s="1"/>
      <c r="G17" s="1"/>
      <c r="H17" s="1"/>
      <c r="I17" s="1"/>
      <c r="J17" s="1"/>
      <c r="K17" s="8"/>
    </row>
    <row r="21" spans="2:11" x14ac:dyDescent="0.55000000000000004">
      <c r="B21" s="5" t="s">
        <v>55</v>
      </c>
      <c r="C21" s="5" t="s">
        <v>56</v>
      </c>
    </row>
    <row r="22" spans="2:11" x14ac:dyDescent="0.55000000000000004">
      <c r="B22" s="1" t="s">
        <v>51</v>
      </c>
      <c r="C22" s="1">
        <v>2193</v>
      </c>
    </row>
    <row r="23" spans="2:11" x14ac:dyDescent="0.55000000000000004">
      <c r="B23" s="1" t="s">
        <v>52</v>
      </c>
      <c r="C23" s="1">
        <v>69</v>
      </c>
    </row>
    <row r="24" spans="2:11" x14ac:dyDescent="0.55000000000000004">
      <c r="B24" s="1" t="s">
        <v>53</v>
      </c>
      <c r="C24" s="1">
        <v>0</v>
      </c>
    </row>
    <row r="25" spans="2:11" x14ac:dyDescent="0.55000000000000004">
      <c r="B25" s="1" t="s">
        <v>54</v>
      </c>
      <c r="C25" s="8">
        <f>SUM(C23:C24)</f>
        <v>69</v>
      </c>
    </row>
    <row r="26" spans="2:11" x14ac:dyDescent="0.55000000000000004">
      <c r="B26" s="7" t="s">
        <v>62</v>
      </c>
      <c r="C26" s="8">
        <f>IF(C25=0,0,ROUND((C25/C22)*100,1))</f>
        <v>3.1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7533A-729A-4AEE-B762-313EB85A7C42}">
  <sheetPr codeName="Sheet10"/>
  <dimension ref="B2:P26"/>
  <sheetViews>
    <sheetView topLeftCell="A18" workbookViewId="0">
      <selection activeCell="E24" sqref="E24"/>
    </sheetView>
  </sheetViews>
  <sheetFormatPr defaultRowHeight="18" x14ac:dyDescent="0.55000000000000004"/>
  <cols>
    <col min="2" max="2" width="25.33203125" customWidth="1"/>
    <col min="8" max="8" width="11.75" bestFit="1" customWidth="1"/>
    <col min="15" max="15" width="23.9140625" bestFit="1" customWidth="1"/>
  </cols>
  <sheetData>
    <row r="2" spans="2:16" ht="20" x14ac:dyDescent="0.55000000000000004">
      <c r="B2" s="6" t="s">
        <v>69</v>
      </c>
    </row>
    <row r="4" spans="2:16" x14ac:dyDescent="0.55000000000000004">
      <c r="B4" t="s">
        <v>57</v>
      </c>
      <c r="O4" s="9"/>
      <c r="P4" s="9"/>
    </row>
    <row r="5" spans="2:16" x14ac:dyDescent="0.55000000000000004">
      <c r="O5" s="9"/>
      <c r="P5" s="9"/>
    </row>
    <row r="6" spans="2:16" x14ac:dyDescent="0.55000000000000004">
      <c r="B6" s="4" t="s">
        <v>37</v>
      </c>
      <c r="C6" s="4" t="s">
        <v>42</v>
      </c>
      <c r="D6" s="4" t="s">
        <v>43</v>
      </c>
      <c r="E6" s="4" t="s">
        <v>44</v>
      </c>
      <c r="F6" s="4" t="s">
        <v>45</v>
      </c>
      <c r="G6" s="4" t="s">
        <v>46</v>
      </c>
      <c r="H6" s="4" t="s">
        <v>47</v>
      </c>
      <c r="I6" s="4" t="s">
        <v>48</v>
      </c>
      <c r="J6" s="4" t="s">
        <v>49</v>
      </c>
      <c r="K6" s="4" t="s">
        <v>50</v>
      </c>
      <c r="O6" s="9"/>
      <c r="P6" s="9"/>
    </row>
    <row r="7" spans="2:16" x14ac:dyDescent="0.55000000000000004">
      <c r="B7" s="4" t="s">
        <v>38</v>
      </c>
      <c r="C7" s="1"/>
      <c r="D7" s="1"/>
      <c r="E7" s="1"/>
      <c r="F7" s="1"/>
      <c r="G7" s="1"/>
      <c r="H7" s="1"/>
      <c r="I7" s="1"/>
      <c r="J7" s="1"/>
      <c r="K7" s="8"/>
      <c r="O7" s="9"/>
      <c r="P7" s="9"/>
    </row>
    <row r="8" spans="2:16" x14ac:dyDescent="0.55000000000000004">
      <c r="B8" s="4" t="s">
        <v>39</v>
      </c>
      <c r="C8" s="1"/>
      <c r="D8" s="1"/>
      <c r="E8" s="1"/>
      <c r="F8" s="1"/>
      <c r="G8" s="1"/>
      <c r="H8" s="1"/>
      <c r="I8" s="1"/>
      <c r="J8" s="1"/>
      <c r="K8" s="8"/>
      <c r="O8" s="9"/>
      <c r="P8" s="9"/>
    </row>
    <row r="9" spans="2:16" x14ac:dyDescent="0.55000000000000004">
      <c r="B9" s="4" t="s">
        <v>40</v>
      </c>
      <c r="C9" s="1"/>
      <c r="D9" s="1"/>
      <c r="E9" s="1"/>
      <c r="F9" s="1"/>
      <c r="G9" s="1"/>
      <c r="H9" s="1"/>
      <c r="I9" s="1"/>
      <c r="J9" s="1"/>
      <c r="K9" s="8"/>
      <c r="O9" s="9"/>
      <c r="P9" s="9"/>
    </row>
    <row r="12" spans="2:16" x14ac:dyDescent="0.55000000000000004">
      <c r="B12" t="s">
        <v>58</v>
      </c>
    </row>
    <row r="14" spans="2:16" x14ac:dyDescent="0.55000000000000004">
      <c r="B14" s="2" t="s">
        <v>37</v>
      </c>
      <c r="C14" s="2" t="s">
        <v>42</v>
      </c>
      <c r="D14" s="2" t="s">
        <v>43</v>
      </c>
      <c r="E14" s="2" t="s">
        <v>44</v>
      </c>
      <c r="F14" s="2" t="s">
        <v>45</v>
      </c>
      <c r="G14" s="2" t="s">
        <v>46</v>
      </c>
      <c r="H14" s="2" t="s">
        <v>47</v>
      </c>
      <c r="I14" s="2" t="s">
        <v>48</v>
      </c>
      <c r="J14" s="2" t="s">
        <v>49</v>
      </c>
      <c r="K14" s="2" t="s">
        <v>50</v>
      </c>
    </row>
    <row r="15" spans="2:16" x14ac:dyDescent="0.55000000000000004">
      <c r="B15" s="2" t="s">
        <v>59</v>
      </c>
      <c r="C15" s="1"/>
      <c r="D15" s="1"/>
      <c r="E15" s="1"/>
      <c r="F15" s="1"/>
      <c r="G15" s="1"/>
      <c r="H15" s="1"/>
      <c r="I15" s="1"/>
      <c r="J15" s="1"/>
      <c r="K15" s="8"/>
    </row>
    <row r="16" spans="2:16" x14ac:dyDescent="0.55000000000000004">
      <c r="B16" s="2" t="s">
        <v>60</v>
      </c>
      <c r="C16" s="1"/>
      <c r="D16" s="1"/>
      <c r="E16" s="1"/>
      <c r="F16" s="1"/>
      <c r="G16" s="1"/>
      <c r="H16" s="1"/>
      <c r="I16" s="1"/>
      <c r="J16" s="1"/>
      <c r="K16" s="8"/>
    </row>
    <row r="17" spans="2:11" x14ac:dyDescent="0.55000000000000004">
      <c r="B17" s="2" t="s">
        <v>50</v>
      </c>
      <c r="C17" s="1"/>
      <c r="D17" s="1"/>
      <c r="E17" s="1"/>
      <c r="F17" s="1"/>
      <c r="G17" s="1"/>
      <c r="H17" s="1"/>
      <c r="I17" s="1"/>
      <c r="J17" s="1"/>
      <c r="K17" s="8"/>
    </row>
    <row r="21" spans="2:11" x14ac:dyDescent="0.55000000000000004">
      <c r="B21" s="5" t="s">
        <v>55</v>
      </c>
      <c r="C21" s="5" t="s">
        <v>56</v>
      </c>
    </row>
    <row r="22" spans="2:11" x14ac:dyDescent="0.55000000000000004">
      <c r="B22" s="1" t="s">
        <v>51</v>
      </c>
      <c r="C22" s="1">
        <v>393</v>
      </c>
    </row>
    <row r="23" spans="2:11" x14ac:dyDescent="0.55000000000000004">
      <c r="B23" s="1" t="s">
        <v>52</v>
      </c>
      <c r="C23" s="1">
        <v>12</v>
      </c>
    </row>
    <row r="24" spans="2:11" x14ac:dyDescent="0.55000000000000004">
      <c r="B24" s="1" t="s">
        <v>53</v>
      </c>
      <c r="C24" s="1">
        <v>0</v>
      </c>
    </row>
    <row r="25" spans="2:11" x14ac:dyDescent="0.55000000000000004">
      <c r="B25" s="1" t="s">
        <v>54</v>
      </c>
      <c r="C25" s="8">
        <f>SUM(C23:C24)</f>
        <v>12</v>
      </c>
    </row>
    <row r="26" spans="2:11" x14ac:dyDescent="0.55000000000000004">
      <c r="B26" s="7" t="s">
        <v>62</v>
      </c>
      <c r="C26" s="8">
        <f>IF(C25=0,0,ROUND((C25/C22)*100,1))</f>
        <v>3.1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5DCDB-A149-44EF-9312-1DCF7E23DBE9}">
  <sheetPr codeName="Sheet11"/>
  <dimension ref="B2:P26"/>
  <sheetViews>
    <sheetView workbookViewId="0">
      <selection activeCell="B2" sqref="B2"/>
    </sheetView>
  </sheetViews>
  <sheetFormatPr defaultRowHeight="18" x14ac:dyDescent="0.55000000000000004"/>
  <cols>
    <col min="2" max="2" width="25.33203125" customWidth="1"/>
    <col min="8" max="8" width="11.75" bestFit="1" customWidth="1"/>
    <col min="15" max="15" width="23.9140625" bestFit="1" customWidth="1"/>
  </cols>
  <sheetData>
    <row r="2" spans="2:16" ht="20" x14ac:dyDescent="0.55000000000000004">
      <c r="B2" s="6" t="s">
        <v>70</v>
      </c>
    </row>
    <row r="4" spans="2:16" x14ac:dyDescent="0.55000000000000004">
      <c r="B4" t="s">
        <v>57</v>
      </c>
      <c r="O4" s="9"/>
      <c r="P4" s="9"/>
    </row>
    <row r="5" spans="2:16" x14ac:dyDescent="0.55000000000000004">
      <c r="O5" s="9"/>
      <c r="P5" s="9"/>
    </row>
    <row r="6" spans="2:16" x14ac:dyDescent="0.55000000000000004">
      <c r="B6" s="4" t="s">
        <v>37</v>
      </c>
      <c r="C6" s="4" t="s">
        <v>42</v>
      </c>
      <c r="D6" s="4" t="s">
        <v>43</v>
      </c>
      <c r="E6" s="4" t="s">
        <v>44</v>
      </c>
      <c r="F6" s="4" t="s">
        <v>45</v>
      </c>
      <c r="G6" s="4" t="s">
        <v>46</v>
      </c>
      <c r="H6" s="4" t="s">
        <v>47</v>
      </c>
      <c r="I6" s="4" t="s">
        <v>48</v>
      </c>
      <c r="J6" s="4" t="s">
        <v>49</v>
      </c>
      <c r="K6" s="4" t="s">
        <v>50</v>
      </c>
      <c r="O6" s="9"/>
      <c r="P6" s="9"/>
    </row>
    <row r="7" spans="2:16" x14ac:dyDescent="0.55000000000000004">
      <c r="B7" s="4" t="s">
        <v>38</v>
      </c>
      <c r="C7" s="1"/>
      <c r="D7" s="1"/>
      <c r="E7" s="1"/>
      <c r="F7" s="1"/>
      <c r="G7" s="1"/>
      <c r="H7" s="1"/>
      <c r="I7" s="1"/>
      <c r="J7" s="1"/>
      <c r="K7" s="8"/>
      <c r="O7" s="9"/>
      <c r="P7" s="9"/>
    </row>
    <row r="8" spans="2:16" x14ac:dyDescent="0.55000000000000004">
      <c r="B8" s="4" t="s">
        <v>39</v>
      </c>
      <c r="C8" s="1"/>
      <c r="D8" s="1"/>
      <c r="E8" s="1"/>
      <c r="F8" s="1"/>
      <c r="G8" s="1"/>
      <c r="H8" s="1"/>
      <c r="I8" s="1"/>
      <c r="J8" s="1"/>
      <c r="K8" s="8"/>
      <c r="O8" s="9"/>
      <c r="P8" s="9"/>
    </row>
    <row r="9" spans="2:16" x14ac:dyDescent="0.55000000000000004">
      <c r="B9" s="4" t="s">
        <v>40</v>
      </c>
      <c r="C9" s="1"/>
      <c r="D9" s="1"/>
      <c r="E9" s="1"/>
      <c r="F9" s="1"/>
      <c r="G9" s="1"/>
      <c r="H9" s="1"/>
      <c r="I9" s="1"/>
      <c r="J9" s="1"/>
      <c r="K9" s="8"/>
      <c r="O9" s="9"/>
      <c r="P9" s="9"/>
    </row>
    <row r="12" spans="2:16" x14ac:dyDescent="0.55000000000000004">
      <c r="B12" t="s">
        <v>58</v>
      </c>
    </row>
    <row r="14" spans="2:16" x14ac:dyDescent="0.55000000000000004">
      <c r="B14" s="2" t="s">
        <v>37</v>
      </c>
      <c r="C14" s="2" t="s">
        <v>42</v>
      </c>
      <c r="D14" s="2" t="s">
        <v>43</v>
      </c>
      <c r="E14" s="2" t="s">
        <v>44</v>
      </c>
      <c r="F14" s="2" t="s">
        <v>45</v>
      </c>
      <c r="G14" s="2" t="s">
        <v>46</v>
      </c>
      <c r="H14" s="2" t="s">
        <v>47</v>
      </c>
      <c r="I14" s="2" t="s">
        <v>48</v>
      </c>
      <c r="J14" s="2" t="s">
        <v>49</v>
      </c>
      <c r="K14" s="2" t="s">
        <v>50</v>
      </c>
    </row>
    <row r="15" spans="2:16" x14ac:dyDescent="0.55000000000000004">
      <c r="B15" s="2" t="s">
        <v>59</v>
      </c>
      <c r="C15" s="1"/>
      <c r="D15" s="1"/>
      <c r="E15" s="1"/>
      <c r="F15" s="1"/>
      <c r="G15" s="1"/>
      <c r="H15" s="1"/>
      <c r="I15" s="1"/>
      <c r="J15" s="1"/>
      <c r="K15" s="8"/>
    </row>
    <row r="16" spans="2:16" x14ac:dyDescent="0.55000000000000004">
      <c r="B16" s="2" t="s">
        <v>60</v>
      </c>
      <c r="C16" s="1"/>
      <c r="D16" s="1"/>
      <c r="E16" s="1"/>
      <c r="F16" s="1"/>
      <c r="G16" s="1"/>
      <c r="H16" s="1"/>
      <c r="I16" s="1"/>
      <c r="J16" s="1"/>
      <c r="K16" s="8"/>
    </row>
    <row r="17" spans="2:11" x14ac:dyDescent="0.55000000000000004">
      <c r="B17" s="2" t="s">
        <v>50</v>
      </c>
      <c r="C17" s="1"/>
      <c r="D17" s="1"/>
      <c r="E17" s="1"/>
      <c r="F17" s="1"/>
      <c r="G17" s="1"/>
      <c r="H17" s="1"/>
      <c r="I17" s="1"/>
      <c r="J17" s="1"/>
      <c r="K17" s="8"/>
    </row>
    <row r="21" spans="2:11" x14ac:dyDescent="0.55000000000000004">
      <c r="B21" s="5" t="s">
        <v>55</v>
      </c>
      <c r="C21" s="5" t="s">
        <v>56</v>
      </c>
    </row>
    <row r="22" spans="2:11" x14ac:dyDescent="0.55000000000000004">
      <c r="B22" s="1" t="s">
        <v>51</v>
      </c>
      <c r="C22" s="1">
        <v>430</v>
      </c>
    </row>
    <row r="23" spans="2:11" x14ac:dyDescent="0.55000000000000004">
      <c r="B23" s="1" t="s">
        <v>52</v>
      </c>
      <c r="C23" s="1">
        <v>11</v>
      </c>
    </row>
    <row r="24" spans="2:11" x14ac:dyDescent="0.55000000000000004">
      <c r="B24" s="1" t="s">
        <v>53</v>
      </c>
      <c r="C24" s="1">
        <v>0</v>
      </c>
    </row>
    <row r="25" spans="2:11" x14ac:dyDescent="0.55000000000000004">
      <c r="B25" s="1" t="s">
        <v>54</v>
      </c>
      <c r="C25" s="8">
        <f>SUM(C23:C24)</f>
        <v>11</v>
      </c>
    </row>
    <row r="26" spans="2:11" x14ac:dyDescent="0.55000000000000004">
      <c r="B26" s="7" t="s">
        <v>62</v>
      </c>
      <c r="C26" s="8">
        <f>IF(C25=0,0,ROUND((C25/C22)*100,1))</f>
        <v>2.6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4AD96-017B-4439-BA05-B8328E57BD25}">
  <sheetPr codeName="Sheet12"/>
  <dimension ref="B2:P26"/>
  <sheetViews>
    <sheetView workbookViewId="0">
      <selection activeCell="B2" sqref="B2"/>
    </sheetView>
  </sheetViews>
  <sheetFormatPr defaultRowHeight="18" x14ac:dyDescent="0.55000000000000004"/>
  <cols>
    <col min="2" max="2" width="25.33203125" customWidth="1"/>
    <col min="8" max="8" width="11.75" bestFit="1" customWidth="1"/>
    <col min="15" max="15" width="23.9140625" bestFit="1" customWidth="1"/>
  </cols>
  <sheetData>
    <row r="2" spans="2:16" ht="20" x14ac:dyDescent="0.55000000000000004">
      <c r="B2" s="6" t="s">
        <v>71</v>
      </c>
    </row>
    <row r="4" spans="2:16" x14ac:dyDescent="0.55000000000000004">
      <c r="B4" t="s">
        <v>57</v>
      </c>
      <c r="O4" s="9"/>
      <c r="P4" s="9"/>
    </row>
    <row r="5" spans="2:16" x14ac:dyDescent="0.55000000000000004">
      <c r="O5" s="9"/>
      <c r="P5" s="9"/>
    </row>
    <row r="6" spans="2:16" x14ac:dyDescent="0.55000000000000004">
      <c r="B6" s="4" t="s">
        <v>37</v>
      </c>
      <c r="C6" s="4" t="s">
        <v>42</v>
      </c>
      <c r="D6" s="4" t="s">
        <v>43</v>
      </c>
      <c r="E6" s="4" t="s">
        <v>44</v>
      </c>
      <c r="F6" s="4" t="s">
        <v>45</v>
      </c>
      <c r="G6" s="4" t="s">
        <v>46</v>
      </c>
      <c r="H6" s="4" t="s">
        <v>47</v>
      </c>
      <c r="I6" s="4" t="s">
        <v>48</v>
      </c>
      <c r="J6" s="4" t="s">
        <v>49</v>
      </c>
      <c r="K6" s="4" t="s">
        <v>50</v>
      </c>
      <c r="O6" s="9"/>
      <c r="P6" s="9"/>
    </row>
    <row r="7" spans="2:16" x14ac:dyDescent="0.55000000000000004">
      <c r="B7" s="4" t="s">
        <v>38</v>
      </c>
      <c r="C7" s="1"/>
      <c r="D7" s="1"/>
      <c r="E7" s="1"/>
      <c r="F7" s="1"/>
      <c r="G7" s="1"/>
      <c r="H7" s="1"/>
      <c r="I7" s="1"/>
      <c r="J7" s="1"/>
      <c r="K7" s="8"/>
      <c r="O7" s="9"/>
      <c r="P7" s="9"/>
    </row>
    <row r="8" spans="2:16" x14ac:dyDescent="0.55000000000000004">
      <c r="B8" s="4" t="s">
        <v>39</v>
      </c>
      <c r="C8" s="1"/>
      <c r="D8" s="1"/>
      <c r="E8" s="1"/>
      <c r="F8" s="1"/>
      <c r="G8" s="1"/>
      <c r="H8" s="1"/>
      <c r="I8" s="1"/>
      <c r="J8" s="1"/>
      <c r="K8" s="8"/>
      <c r="O8" s="9"/>
      <c r="P8" s="9"/>
    </row>
    <row r="9" spans="2:16" x14ac:dyDescent="0.55000000000000004">
      <c r="B9" s="4" t="s">
        <v>40</v>
      </c>
      <c r="C9" s="1"/>
      <c r="D9" s="1"/>
      <c r="E9" s="1"/>
      <c r="F9" s="1"/>
      <c r="G9" s="1"/>
      <c r="H9" s="1"/>
      <c r="I9" s="1"/>
      <c r="J9" s="1"/>
      <c r="K9" s="8"/>
      <c r="O9" s="9"/>
      <c r="P9" s="9"/>
    </row>
    <row r="12" spans="2:16" x14ac:dyDescent="0.55000000000000004">
      <c r="B12" t="s">
        <v>58</v>
      </c>
    </row>
    <row r="14" spans="2:16" x14ac:dyDescent="0.55000000000000004">
      <c r="B14" s="2" t="s">
        <v>37</v>
      </c>
      <c r="C14" s="2" t="s">
        <v>42</v>
      </c>
      <c r="D14" s="2" t="s">
        <v>43</v>
      </c>
      <c r="E14" s="2" t="s">
        <v>44</v>
      </c>
      <c r="F14" s="2" t="s">
        <v>45</v>
      </c>
      <c r="G14" s="2" t="s">
        <v>46</v>
      </c>
      <c r="H14" s="2" t="s">
        <v>47</v>
      </c>
      <c r="I14" s="2" t="s">
        <v>48</v>
      </c>
      <c r="J14" s="2" t="s">
        <v>49</v>
      </c>
      <c r="K14" s="2" t="s">
        <v>50</v>
      </c>
    </row>
    <row r="15" spans="2:16" x14ac:dyDescent="0.55000000000000004">
      <c r="B15" s="2" t="s">
        <v>59</v>
      </c>
      <c r="C15" s="1"/>
      <c r="D15" s="1"/>
      <c r="E15" s="1"/>
      <c r="F15" s="1"/>
      <c r="G15" s="1"/>
      <c r="H15" s="1"/>
      <c r="I15" s="1"/>
      <c r="J15" s="1"/>
      <c r="K15" s="8"/>
    </row>
    <row r="16" spans="2:16" x14ac:dyDescent="0.55000000000000004">
      <c r="B16" s="2" t="s">
        <v>60</v>
      </c>
      <c r="C16" s="1"/>
      <c r="D16" s="1"/>
      <c r="E16" s="1"/>
      <c r="F16" s="1"/>
      <c r="G16" s="1"/>
      <c r="H16" s="1"/>
      <c r="I16" s="1"/>
      <c r="J16" s="1"/>
      <c r="K16" s="8"/>
    </row>
    <row r="17" spans="2:11" x14ac:dyDescent="0.55000000000000004">
      <c r="B17" s="2" t="s">
        <v>50</v>
      </c>
      <c r="C17" s="1"/>
      <c r="D17" s="1"/>
      <c r="E17" s="1"/>
      <c r="F17" s="1"/>
      <c r="G17" s="1"/>
      <c r="H17" s="1"/>
      <c r="I17" s="1"/>
      <c r="J17" s="1"/>
      <c r="K17" s="8"/>
    </row>
    <row r="21" spans="2:11" x14ac:dyDescent="0.55000000000000004">
      <c r="B21" s="5" t="s">
        <v>55</v>
      </c>
      <c r="C21" s="5" t="s">
        <v>56</v>
      </c>
    </row>
    <row r="22" spans="2:11" x14ac:dyDescent="0.55000000000000004">
      <c r="B22" s="1" t="s">
        <v>51</v>
      </c>
      <c r="C22" s="1">
        <v>254</v>
      </c>
    </row>
    <row r="23" spans="2:11" x14ac:dyDescent="0.55000000000000004">
      <c r="B23" s="1" t="s">
        <v>52</v>
      </c>
      <c r="C23" s="1">
        <v>7</v>
      </c>
    </row>
    <row r="24" spans="2:11" x14ac:dyDescent="0.55000000000000004">
      <c r="B24" s="1" t="s">
        <v>53</v>
      </c>
      <c r="C24" s="1">
        <v>0</v>
      </c>
    </row>
    <row r="25" spans="2:11" x14ac:dyDescent="0.55000000000000004">
      <c r="B25" s="1" t="s">
        <v>54</v>
      </c>
      <c r="C25" s="8">
        <f>SUM(C23:C24)</f>
        <v>7</v>
      </c>
    </row>
    <row r="26" spans="2:11" x14ac:dyDescent="0.55000000000000004">
      <c r="B26" s="7" t="s">
        <v>62</v>
      </c>
      <c r="C26" s="8">
        <f>IF(C25=0,0,ROUND((C25/C22)*100,1))</f>
        <v>2.8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7E6FD-0BB6-419F-8C9E-7250F5561E76}">
  <sheetPr codeName="Sheet13"/>
  <dimension ref="B2:P26"/>
  <sheetViews>
    <sheetView topLeftCell="A12" workbookViewId="0">
      <selection activeCell="F3" sqref="F3"/>
    </sheetView>
  </sheetViews>
  <sheetFormatPr defaultRowHeight="18" x14ac:dyDescent="0.55000000000000004"/>
  <cols>
    <col min="2" max="2" width="25.33203125" customWidth="1"/>
    <col min="8" max="8" width="11.75" bestFit="1" customWidth="1"/>
    <col min="15" max="15" width="23.9140625" bestFit="1" customWidth="1"/>
  </cols>
  <sheetData>
    <row r="2" spans="2:16" ht="20" x14ac:dyDescent="0.55000000000000004">
      <c r="B2" s="6" t="s">
        <v>72</v>
      </c>
    </row>
    <row r="4" spans="2:16" x14ac:dyDescent="0.55000000000000004">
      <c r="B4" t="s">
        <v>57</v>
      </c>
      <c r="O4" s="9"/>
      <c r="P4" s="9"/>
    </row>
    <row r="5" spans="2:16" x14ac:dyDescent="0.55000000000000004">
      <c r="O5" s="9"/>
      <c r="P5" s="9"/>
    </row>
    <row r="6" spans="2:16" x14ac:dyDescent="0.55000000000000004">
      <c r="B6" s="4" t="s">
        <v>37</v>
      </c>
      <c r="C6" s="4" t="s">
        <v>42</v>
      </c>
      <c r="D6" s="4" t="s">
        <v>43</v>
      </c>
      <c r="E6" s="4" t="s">
        <v>44</v>
      </c>
      <c r="F6" s="4" t="s">
        <v>45</v>
      </c>
      <c r="G6" s="4" t="s">
        <v>46</v>
      </c>
      <c r="H6" s="4" t="s">
        <v>47</v>
      </c>
      <c r="I6" s="4" t="s">
        <v>48</v>
      </c>
      <c r="J6" s="4" t="s">
        <v>49</v>
      </c>
      <c r="K6" s="4" t="s">
        <v>50</v>
      </c>
      <c r="O6" s="9"/>
      <c r="P6" s="9"/>
    </row>
    <row r="7" spans="2:16" x14ac:dyDescent="0.55000000000000004">
      <c r="B7" s="4" t="s">
        <v>38</v>
      </c>
      <c r="C7" s="1"/>
      <c r="D7" s="1"/>
      <c r="E7" s="1"/>
      <c r="F7" s="1"/>
      <c r="G7" s="1"/>
      <c r="H7" s="1"/>
      <c r="I7" s="1"/>
      <c r="J7" s="1"/>
      <c r="K7" s="8"/>
      <c r="O7" s="9"/>
      <c r="P7" s="9"/>
    </row>
    <row r="8" spans="2:16" x14ac:dyDescent="0.55000000000000004">
      <c r="B8" s="4" t="s">
        <v>39</v>
      </c>
      <c r="C8" s="1"/>
      <c r="D8" s="1"/>
      <c r="E8" s="1"/>
      <c r="F8" s="1"/>
      <c r="G8" s="1"/>
      <c r="H8" s="1"/>
      <c r="I8" s="1"/>
      <c r="J8" s="1"/>
      <c r="K8" s="8"/>
      <c r="O8" s="9"/>
      <c r="P8" s="9"/>
    </row>
    <row r="9" spans="2:16" x14ac:dyDescent="0.55000000000000004">
      <c r="B9" s="4" t="s">
        <v>40</v>
      </c>
      <c r="C9" s="1"/>
      <c r="D9" s="1"/>
      <c r="E9" s="1"/>
      <c r="F9" s="1"/>
      <c r="G9" s="1"/>
      <c r="H9" s="1"/>
      <c r="I9" s="1"/>
      <c r="J9" s="1"/>
      <c r="K9" s="8"/>
      <c r="O9" s="9"/>
      <c r="P9" s="9"/>
    </row>
    <row r="12" spans="2:16" x14ac:dyDescent="0.55000000000000004">
      <c r="B12" t="s">
        <v>58</v>
      </c>
    </row>
    <row r="14" spans="2:16" x14ac:dyDescent="0.55000000000000004">
      <c r="B14" s="2" t="s">
        <v>37</v>
      </c>
      <c r="C14" s="2" t="s">
        <v>42</v>
      </c>
      <c r="D14" s="2" t="s">
        <v>43</v>
      </c>
      <c r="E14" s="2" t="s">
        <v>44</v>
      </c>
      <c r="F14" s="2" t="s">
        <v>45</v>
      </c>
      <c r="G14" s="2" t="s">
        <v>46</v>
      </c>
      <c r="H14" s="2" t="s">
        <v>47</v>
      </c>
      <c r="I14" s="2" t="s">
        <v>48</v>
      </c>
      <c r="J14" s="2" t="s">
        <v>49</v>
      </c>
      <c r="K14" s="2" t="s">
        <v>50</v>
      </c>
    </row>
    <row r="15" spans="2:16" x14ac:dyDescent="0.55000000000000004">
      <c r="B15" s="2" t="s">
        <v>59</v>
      </c>
      <c r="C15" s="1"/>
      <c r="D15" s="1"/>
      <c r="E15" s="1"/>
      <c r="F15" s="1"/>
      <c r="G15" s="1"/>
      <c r="H15" s="1"/>
      <c r="I15" s="1"/>
      <c r="J15" s="1"/>
      <c r="K15" s="8"/>
    </row>
    <row r="16" spans="2:16" x14ac:dyDescent="0.55000000000000004">
      <c r="B16" s="2" t="s">
        <v>60</v>
      </c>
      <c r="C16" s="1"/>
      <c r="D16" s="1"/>
      <c r="E16" s="1"/>
      <c r="F16" s="1"/>
      <c r="G16" s="1"/>
      <c r="H16" s="1"/>
      <c r="I16" s="1"/>
      <c r="J16" s="1"/>
      <c r="K16" s="8"/>
    </row>
    <row r="17" spans="2:11" x14ac:dyDescent="0.55000000000000004">
      <c r="B17" s="2" t="s">
        <v>50</v>
      </c>
      <c r="C17" s="1"/>
      <c r="D17" s="1"/>
      <c r="E17" s="1"/>
      <c r="F17" s="1"/>
      <c r="G17" s="1"/>
      <c r="H17" s="1"/>
      <c r="I17" s="1"/>
      <c r="J17" s="1"/>
      <c r="K17" s="8"/>
    </row>
    <row r="21" spans="2:11" x14ac:dyDescent="0.55000000000000004">
      <c r="B21" s="5" t="s">
        <v>55</v>
      </c>
      <c r="C21" s="5" t="s">
        <v>56</v>
      </c>
    </row>
    <row r="22" spans="2:11" x14ac:dyDescent="0.55000000000000004">
      <c r="B22" s="1" t="s">
        <v>51</v>
      </c>
      <c r="C22" s="1">
        <v>394</v>
      </c>
    </row>
    <row r="23" spans="2:11" x14ac:dyDescent="0.55000000000000004">
      <c r="B23" s="1" t="s">
        <v>52</v>
      </c>
      <c r="C23" s="1">
        <v>15</v>
      </c>
    </row>
    <row r="24" spans="2:11" x14ac:dyDescent="0.55000000000000004">
      <c r="B24" s="1" t="s">
        <v>53</v>
      </c>
      <c r="C24" s="1">
        <v>0</v>
      </c>
    </row>
    <row r="25" spans="2:11" x14ac:dyDescent="0.55000000000000004">
      <c r="B25" s="1" t="s">
        <v>54</v>
      </c>
      <c r="C25" s="8">
        <f>SUM(C23:C24)</f>
        <v>15</v>
      </c>
    </row>
    <row r="26" spans="2:11" x14ac:dyDescent="0.55000000000000004">
      <c r="B26" s="7" t="s">
        <v>62</v>
      </c>
      <c r="C26" s="8">
        <f>IF(C25=0,0,ROUND((C25/C22)*100,1))</f>
        <v>3.8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478F9-061E-4DE6-A75F-638D6F0DD15D}">
  <sheetPr codeName="Sheet14"/>
  <dimension ref="B2:P26"/>
  <sheetViews>
    <sheetView topLeftCell="A18" workbookViewId="0">
      <selection activeCell="C22" sqref="C22:C24"/>
    </sheetView>
  </sheetViews>
  <sheetFormatPr defaultRowHeight="18" x14ac:dyDescent="0.55000000000000004"/>
  <cols>
    <col min="2" max="2" width="25.33203125" customWidth="1"/>
    <col min="8" max="8" width="11.75" bestFit="1" customWidth="1"/>
    <col min="15" max="15" width="23.9140625" bestFit="1" customWidth="1"/>
  </cols>
  <sheetData>
    <row r="2" spans="2:16" ht="20" x14ac:dyDescent="0.55000000000000004">
      <c r="B2" s="6" t="s">
        <v>73</v>
      </c>
    </row>
    <row r="4" spans="2:16" x14ac:dyDescent="0.55000000000000004">
      <c r="B4" t="s">
        <v>57</v>
      </c>
      <c r="O4" s="9"/>
      <c r="P4" s="9"/>
    </row>
    <row r="5" spans="2:16" x14ac:dyDescent="0.55000000000000004">
      <c r="O5" s="9"/>
      <c r="P5" s="9"/>
    </row>
    <row r="6" spans="2:16" x14ac:dyDescent="0.55000000000000004">
      <c r="B6" s="4" t="s">
        <v>37</v>
      </c>
      <c r="C6" s="4" t="s">
        <v>42</v>
      </c>
      <c r="D6" s="4" t="s">
        <v>43</v>
      </c>
      <c r="E6" s="4" t="s">
        <v>44</v>
      </c>
      <c r="F6" s="4" t="s">
        <v>45</v>
      </c>
      <c r="G6" s="4" t="s">
        <v>46</v>
      </c>
      <c r="H6" s="4" t="s">
        <v>47</v>
      </c>
      <c r="I6" s="4" t="s">
        <v>48</v>
      </c>
      <c r="J6" s="4" t="s">
        <v>49</v>
      </c>
      <c r="K6" s="4" t="s">
        <v>50</v>
      </c>
      <c r="O6" s="9"/>
      <c r="P6" s="9"/>
    </row>
    <row r="7" spans="2:16" x14ac:dyDescent="0.55000000000000004">
      <c r="B7" s="4" t="s">
        <v>38</v>
      </c>
      <c r="C7" s="1"/>
      <c r="D7" s="1"/>
      <c r="E7" s="1"/>
      <c r="F7" s="1"/>
      <c r="G7" s="1"/>
      <c r="H7" s="1"/>
      <c r="I7" s="1"/>
      <c r="J7" s="1"/>
      <c r="K7" s="8"/>
      <c r="O7" s="9"/>
      <c r="P7" s="9"/>
    </row>
    <row r="8" spans="2:16" x14ac:dyDescent="0.55000000000000004">
      <c r="B8" s="4" t="s">
        <v>39</v>
      </c>
      <c r="C8" s="1"/>
      <c r="D8" s="1"/>
      <c r="E8" s="1"/>
      <c r="F8" s="1"/>
      <c r="G8" s="1"/>
      <c r="H8" s="1"/>
      <c r="I8" s="1"/>
      <c r="J8" s="1"/>
      <c r="K8" s="8"/>
      <c r="O8" s="9"/>
      <c r="P8" s="9"/>
    </row>
    <row r="9" spans="2:16" x14ac:dyDescent="0.55000000000000004">
      <c r="B9" s="4" t="s">
        <v>40</v>
      </c>
      <c r="C9" s="1"/>
      <c r="D9" s="1"/>
      <c r="E9" s="1"/>
      <c r="F9" s="1"/>
      <c r="G9" s="1"/>
      <c r="H9" s="1"/>
      <c r="I9" s="1"/>
      <c r="J9" s="1"/>
      <c r="K9" s="8"/>
      <c r="O9" s="9"/>
      <c r="P9" s="9"/>
    </row>
    <row r="12" spans="2:16" x14ac:dyDescent="0.55000000000000004">
      <c r="B12" t="s">
        <v>58</v>
      </c>
    </row>
    <row r="14" spans="2:16" x14ac:dyDescent="0.55000000000000004">
      <c r="B14" s="2" t="s">
        <v>37</v>
      </c>
      <c r="C14" s="2" t="s">
        <v>42</v>
      </c>
      <c r="D14" s="2" t="s">
        <v>43</v>
      </c>
      <c r="E14" s="2" t="s">
        <v>44</v>
      </c>
      <c r="F14" s="2" t="s">
        <v>45</v>
      </c>
      <c r="G14" s="2" t="s">
        <v>46</v>
      </c>
      <c r="H14" s="2" t="s">
        <v>47</v>
      </c>
      <c r="I14" s="2" t="s">
        <v>48</v>
      </c>
      <c r="J14" s="2" t="s">
        <v>49</v>
      </c>
      <c r="K14" s="2" t="s">
        <v>50</v>
      </c>
    </row>
    <row r="15" spans="2:16" x14ac:dyDescent="0.55000000000000004">
      <c r="B15" s="2" t="s">
        <v>59</v>
      </c>
      <c r="C15" s="1"/>
      <c r="D15" s="1"/>
      <c r="E15" s="1"/>
      <c r="F15" s="1"/>
      <c r="G15" s="1"/>
      <c r="H15" s="1"/>
      <c r="I15" s="1"/>
      <c r="J15" s="1"/>
      <c r="K15" s="8"/>
    </row>
    <row r="16" spans="2:16" x14ac:dyDescent="0.55000000000000004">
      <c r="B16" s="2" t="s">
        <v>60</v>
      </c>
      <c r="C16" s="1"/>
      <c r="D16" s="1"/>
      <c r="E16" s="1"/>
      <c r="F16" s="1"/>
      <c r="G16" s="1"/>
      <c r="H16" s="1"/>
      <c r="I16" s="1"/>
      <c r="J16" s="1"/>
      <c r="K16" s="8"/>
    </row>
    <row r="17" spans="2:11" x14ac:dyDescent="0.55000000000000004">
      <c r="B17" s="2" t="s">
        <v>50</v>
      </c>
      <c r="C17" s="1"/>
      <c r="D17" s="1"/>
      <c r="E17" s="1"/>
      <c r="F17" s="1"/>
      <c r="G17" s="1"/>
      <c r="H17" s="1"/>
      <c r="I17" s="1"/>
      <c r="J17" s="1"/>
      <c r="K17" s="8"/>
    </row>
    <row r="21" spans="2:11" x14ac:dyDescent="0.55000000000000004">
      <c r="B21" s="5" t="s">
        <v>55</v>
      </c>
      <c r="C21" s="5" t="s">
        <v>56</v>
      </c>
    </row>
    <row r="22" spans="2:11" x14ac:dyDescent="0.55000000000000004">
      <c r="B22" s="1" t="s">
        <v>51</v>
      </c>
      <c r="C22" s="1">
        <v>220</v>
      </c>
    </row>
    <row r="23" spans="2:11" x14ac:dyDescent="0.55000000000000004">
      <c r="B23" s="1" t="s">
        <v>52</v>
      </c>
      <c r="C23" s="1">
        <v>6</v>
      </c>
    </row>
    <row r="24" spans="2:11" x14ac:dyDescent="0.55000000000000004">
      <c r="B24" s="1" t="s">
        <v>53</v>
      </c>
      <c r="C24" s="1">
        <v>0</v>
      </c>
    </row>
    <row r="25" spans="2:11" x14ac:dyDescent="0.55000000000000004">
      <c r="B25" s="1" t="s">
        <v>54</v>
      </c>
      <c r="C25" s="8">
        <f>SUM(C23:C24)</f>
        <v>6</v>
      </c>
    </row>
    <row r="26" spans="2:11" x14ac:dyDescent="0.55000000000000004">
      <c r="B26" s="7" t="s">
        <v>62</v>
      </c>
      <c r="C26" s="8">
        <f>IF(C25=0,0,ROUND((C25/C22)*100,1))</f>
        <v>2.7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40CE0-DD76-4CB4-929C-FB1649478550}">
  <sheetPr codeName="Sheet15"/>
  <dimension ref="B2:P26"/>
  <sheetViews>
    <sheetView workbookViewId="0">
      <selection activeCell="B2" sqref="B2"/>
    </sheetView>
  </sheetViews>
  <sheetFormatPr defaultRowHeight="18" x14ac:dyDescent="0.55000000000000004"/>
  <cols>
    <col min="2" max="2" width="25.33203125" customWidth="1"/>
    <col min="8" max="8" width="11.75" bestFit="1" customWidth="1"/>
    <col min="15" max="15" width="23.9140625" bestFit="1" customWidth="1"/>
  </cols>
  <sheetData>
    <row r="2" spans="2:16" ht="20" x14ac:dyDescent="0.55000000000000004">
      <c r="B2" s="6" t="s">
        <v>74</v>
      </c>
    </row>
    <row r="4" spans="2:16" x14ac:dyDescent="0.55000000000000004">
      <c r="B4" t="s">
        <v>57</v>
      </c>
      <c r="O4" s="9"/>
      <c r="P4" s="9"/>
    </row>
    <row r="5" spans="2:16" x14ac:dyDescent="0.55000000000000004">
      <c r="O5" s="9"/>
      <c r="P5" s="9"/>
    </row>
    <row r="6" spans="2:16" x14ac:dyDescent="0.55000000000000004">
      <c r="B6" s="4" t="s">
        <v>37</v>
      </c>
      <c r="C6" s="4" t="s">
        <v>42</v>
      </c>
      <c r="D6" s="4" t="s">
        <v>43</v>
      </c>
      <c r="E6" s="4" t="s">
        <v>44</v>
      </c>
      <c r="F6" s="4" t="s">
        <v>45</v>
      </c>
      <c r="G6" s="4" t="s">
        <v>46</v>
      </c>
      <c r="H6" s="4" t="s">
        <v>47</v>
      </c>
      <c r="I6" s="4" t="s">
        <v>48</v>
      </c>
      <c r="J6" s="4" t="s">
        <v>49</v>
      </c>
      <c r="K6" s="4" t="s">
        <v>50</v>
      </c>
      <c r="O6" s="9"/>
      <c r="P6" s="9"/>
    </row>
    <row r="7" spans="2:16" x14ac:dyDescent="0.55000000000000004">
      <c r="B7" s="4" t="s">
        <v>38</v>
      </c>
      <c r="C7" s="1"/>
      <c r="D7" s="1"/>
      <c r="E7" s="1"/>
      <c r="F7" s="1"/>
      <c r="G7" s="1"/>
      <c r="H7" s="1"/>
      <c r="I7" s="1"/>
      <c r="J7" s="1"/>
      <c r="K7" s="8"/>
      <c r="O7" s="9"/>
      <c r="P7" s="9"/>
    </row>
    <row r="8" spans="2:16" x14ac:dyDescent="0.55000000000000004">
      <c r="B8" s="4" t="s">
        <v>39</v>
      </c>
      <c r="C8" s="1"/>
      <c r="D8" s="1"/>
      <c r="E8" s="1"/>
      <c r="F8" s="1"/>
      <c r="G8" s="1"/>
      <c r="H8" s="1"/>
      <c r="I8" s="1"/>
      <c r="J8" s="1"/>
      <c r="K8" s="8"/>
      <c r="O8" s="9"/>
      <c r="P8" s="9"/>
    </row>
    <row r="9" spans="2:16" x14ac:dyDescent="0.55000000000000004">
      <c r="B9" s="4" t="s">
        <v>40</v>
      </c>
      <c r="C9" s="1"/>
      <c r="D9" s="1"/>
      <c r="E9" s="1"/>
      <c r="F9" s="1"/>
      <c r="G9" s="1"/>
      <c r="H9" s="1"/>
      <c r="I9" s="1"/>
      <c r="J9" s="1"/>
      <c r="K9" s="8"/>
      <c r="O9" s="9"/>
      <c r="P9" s="9"/>
    </row>
    <row r="12" spans="2:16" x14ac:dyDescent="0.55000000000000004">
      <c r="B12" t="s">
        <v>58</v>
      </c>
    </row>
    <row r="14" spans="2:16" x14ac:dyDescent="0.55000000000000004">
      <c r="B14" s="2" t="s">
        <v>37</v>
      </c>
      <c r="C14" s="2" t="s">
        <v>42</v>
      </c>
      <c r="D14" s="2" t="s">
        <v>43</v>
      </c>
      <c r="E14" s="2" t="s">
        <v>44</v>
      </c>
      <c r="F14" s="2" t="s">
        <v>45</v>
      </c>
      <c r="G14" s="2" t="s">
        <v>46</v>
      </c>
      <c r="H14" s="2" t="s">
        <v>47</v>
      </c>
      <c r="I14" s="2" t="s">
        <v>48</v>
      </c>
      <c r="J14" s="2" t="s">
        <v>49</v>
      </c>
      <c r="K14" s="2" t="s">
        <v>50</v>
      </c>
    </row>
    <row r="15" spans="2:16" x14ac:dyDescent="0.55000000000000004">
      <c r="B15" s="2" t="s">
        <v>59</v>
      </c>
      <c r="C15" s="1"/>
      <c r="D15" s="1"/>
      <c r="E15" s="1"/>
      <c r="F15" s="1"/>
      <c r="G15" s="1"/>
      <c r="H15" s="1"/>
      <c r="I15" s="1"/>
      <c r="J15" s="1"/>
      <c r="K15" s="8"/>
    </row>
    <row r="16" spans="2:16" x14ac:dyDescent="0.55000000000000004">
      <c r="B16" s="2" t="s">
        <v>60</v>
      </c>
      <c r="C16" s="1"/>
      <c r="D16" s="1"/>
      <c r="E16" s="1"/>
      <c r="F16" s="1"/>
      <c r="G16" s="1"/>
      <c r="H16" s="1"/>
      <c r="I16" s="1"/>
      <c r="J16" s="1"/>
      <c r="K16" s="8"/>
    </row>
    <row r="17" spans="2:11" x14ac:dyDescent="0.55000000000000004">
      <c r="B17" s="2" t="s">
        <v>50</v>
      </c>
      <c r="C17" s="1"/>
      <c r="D17" s="1"/>
      <c r="E17" s="1"/>
      <c r="F17" s="1"/>
      <c r="G17" s="1"/>
      <c r="H17" s="1"/>
      <c r="I17" s="1"/>
      <c r="J17" s="1"/>
      <c r="K17" s="8"/>
    </row>
    <row r="21" spans="2:11" x14ac:dyDescent="0.55000000000000004">
      <c r="B21" s="5" t="s">
        <v>55</v>
      </c>
      <c r="C21" s="5" t="s">
        <v>56</v>
      </c>
    </row>
    <row r="22" spans="2:11" x14ac:dyDescent="0.55000000000000004">
      <c r="B22" s="1" t="s">
        <v>51</v>
      </c>
      <c r="C22" s="1">
        <v>35</v>
      </c>
    </row>
    <row r="23" spans="2:11" x14ac:dyDescent="0.55000000000000004">
      <c r="B23" s="1" t="s">
        <v>52</v>
      </c>
      <c r="C23" s="1">
        <v>0</v>
      </c>
    </row>
    <row r="24" spans="2:11" x14ac:dyDescent="0.55000000000000004">
      <c r="B24" s="1" t="s">
        <v>53</v>
      </c>
      <c r="C24" s="1">
        <v>0</v>
      </c>
    </row>
    <row r="25" spans="2:11" x14ac:dyDescent="0.55000000000000004">
      <c r="B25" s="1" t="s">
        <v>54</v>
      </c>
      <c r="C25" s="8">
        <f>SUM(C23:C24)</f>
        <v>0</v>
      </c>
    </row>
    <row r="26" spans="2:11" x14ac:dyDescent="0.55000000000000004">
      <c r="B26" s="7" t="s">
        <v>62</v>
      </c>
      <c r="C26" s="8">
        <f>IF(C25=0,0,ROUND((C25/C22)*100,1))</f>
        <v>0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3C246-4E99-4265-A2DD-9C904F5DA8F7}">
  <sheetPr codeName="Sheet16"/>
  <dimension ref="B2:P26"/>
  <sheetViews>
    <sheetView topLeftCell="A15" workbookViewId="0">
      <selection activeCell="I25" sqref="I25"/>
    </sheetView>
  </sheetViews>
  <sheetFormatPr defaultRowHeight="18" x14ac:dyDescent="0.55000000000000004"/>
  <cols>
    <col min="2" max="2" width="25.33203125" customWidth="1"/>
    <col min="8" max="8" width="11.75" bestFit="1" customWidth="1"/>
    <col min="15" max="15" width="23.9140625" bestFit="1" customWidth="1"/>
  </cols>
  <sheetData>
    <row r="2" spans="2:16" ht="20" x14ac:dyDescent="0.55000000000000004">
      <c r="B2" s="6" t="s">
        <v>75</v>
      </c>
    </row>
    <row r="4" spans="2:16" x14ac:dyDescent="0.55000000000000004">
      <c r="B4" t="s">
        <v>57</v>
      </c>
      <c r="O4" s="9"/>
      <c r="P4" s="9"/>
    </row>
    <row r="5" spans="2:16" x14ac:dyDescent="0.55000000000000004">
      <c r="O5" s="9"/>
      <c r="P5" s="9"/>
    </row>
    <row r="6" spans="2:16" x14ac:dyDescent="0.55000000000000004">
      <c r="B6" s="4" t="s">
        <v>37</v>
      </c>
      <c r="C6" s="4" t="s">
        <v>42</v>
      </c>
      <c r="D6" s="4" t="s">
        <v>43</v>
      </c>
      <c r="E6" s="4" t="s">
        <v>44</v>
      </c>
      <c r="F6" s="4" t="s">
        <v>45</v>
      </c>
      <c r="G6" s="4" t="s">
        <v>46</v>
      </c>
      <c r="H6" s="4" t="s">
        <v>47</v>
      </c>
      <c r="I6" s="4" t="s">
        <v>48</v>
      </c>
      <c r="J6" s="4" t="s">
        <v>49</v>
      </c>
      <c r="K6" s="4" t="s">
        <v>50</v>
      </c>
      <c r="O6" s="9"/>
      <c r="P6" s="9"/>
    </row>
    <row r="7" spans="2:16" x14ac:dyDescent="0.55000000000000004">
      <c r="B7" s="4" t="s">
        <v>38</v>
      </c>
      <c r="C7" s="1"/>
      <c r="D7" s="1"/>
      <c r="E7" s="1"/>
      <c r="F7" s="1"/>
      <c r="G7" s="1"/>
      <c r="H7" s="1"/>
      <c r="I7" s="1"/>
      <c r="J7" s="1"/>
      <c r="K7" s="8"/>
      <c r="O7" s="9"/>
      <c r="P7" s="9"/>
    </row>
    <row r="8" spans="2:16" x14ac:dyDescent="0.55000000000000004">
      <c r="B8" s="4" t="s">
        <v>39</v>
      </c>
      <c r="C8" s="1"/>
      <c r="D8" s="1"/>
      <c r="E8" s="1"/>
      <c r="F8" s="1"/>
      <c r="G8" s="1"/>
      <c r="H8" s="1"/>
      <c r="I8" s="1"/>
      <c r="J8" s="1"/>
      <c r="K8" s="8"/>
      <c r="O8" s="9"/>
      <c r="P8" s="9"/>
    </row>
    <row r="9" spans="2:16" x14ac:dyDescent="0.55000000000000004">
      <c r="B9" s="4" t="s">
        <v>40</v>
      </c>
      <c r="C9" s="1"/>
      <c r="D9" s="1"/>
      <c r="E9" s="1"/>
      <c r="F9" s="1"/>
      <c r="G9" s="1"/>
      <c r="H9" s="1"/>
      <c r="I9" s="1"/>
      <c r="J9" s="1"/>
      <c r="K9" s="8"/>
      <c r="O9" s="9"/>
      <c r="P9" s="9"/>
    </row>
    <row r="12" spans="2:16" x14ac:dyDescent="0.55000000000000004">
      <c r="B12" t="s">
        <v>58</v>
      </c>
    </row>
    <row r="14" spans="2:16" x14ac:dyDescent="0.55000000000000004">
      <c r="B14" s="2" t="s">
        <v>37</v>
      </c>
      <c r="C14" s="2" t="s">
        <v>42</v>
      </c>
      <c r="D14" s="2" t="s">
        <v>43</v>
      </c>
      <c r="E14" s="2" t="s">
        <v>44</v>
      </c>
      <c r="F14" s="2" t="s">
        <v>45</v>
      </c>
      <c r="G14" s="2" t="s">
        <v>46</v>
      </c>
      <c r="H14" s="2" t="s">
        <v>47</v>
      </c>
      <c r="I14" s="2" t="s">
        <v>48</v>
      </c>
      <c r="J14" s="2" t="s">
        <v>49</v>
      </c>
      <c r="K14" s="2" t="s">
        <v>50</v>
      </c>
    </row>
    <row r="15" spans="2:16" x14ac:dyDescent="0.55000000000000004">
      <c r="B15" s="2" t="s">
        <v>59</v>
      </c>
      <c r="C15" s="1"/>
      <c r="D15" s="1"/>
      <c r="E15" s="1"/>
      <c r="F15" s="1"/>
      <c r="G15" s="1"/>
      <c r="H15" s="1"/>
      <c r="I15" s="1"/>
      <c r="J15" s="1"/>
      <c r="K15" s="8"/>
    </row>
    <row r="16" spans="2:16" x14ac:dyDescent="0.55000000000000004">
      <c r="B16" s="2" t="s">
        <v>60</v>
      </c>
      <c r="C16" s="1"/>
      <c r="D16" s="1"/>
      <c r="E16" s="1"/>
      <c r="F16" s="1"/>
      <c r="G16" s="1"/>
      <c r="H16" s="1"/>
      <c r="I16" s="1"/>
      <c r="J16" s="1"/>
      <c r="K16" s="8"/>
    </row>
    <row r="17" spans="2:11" x14ac:dyDescent="0.55000000000000004">
      <c r="B17" s="2" t="s">
        <v>50</v>
      </c>
      <c r="C17" s="1"/>
      <c r="D17" s="1"/>
      <c r="E17" s="1"/>
      <c r="F17" s="1"/>
      <c r="G17" s="1"/>
      <c r="H17" s="1"/>
      <c r="I17" s="1"/>
      <c r="J17" s="1"/>
      <c r="K17" s="8"/>
    </row>
    <row r="21" spans="2:11" x14ac:dyDescent="0.55000000000000004">
      <c r="B21" s="5" t="s">
        <v>55</v>
      </c>
      <c r="C21" s="5" t="s">
        <v>56</v>
      </c>
    </row>
    <row r="22" spans="2:11" x14ac:dyDescent="0.55000000000000004">
      <c r="B22" s="1" t="s">
        <v>51</v>
      </c>
      <c r="C22" s="1">
        <v>44</v>
      </c>
    </row>
    <row r="23" spans="2:11" x14ac:dyDescent="0.55000000000000004">
      <c r="B23" s="1" t="s">
        <v>52</v>
      </c>
      <c r="C23" s="1">
        <v>3</v>
      </c>
    </row>
    <row r="24" spans="2:11" x14ac:dyDescent="0.55000000000000004">
      <c r="B24" s="1" t="s">
        <v>53</v>
      </c>
      <c r="C24" s="1">
        <v>0</v>
      </c>
    </row>
    <row r="25" spans="2:11" x14ac:dyDescent="0.55000000000000004">
      <c r="B25" s="1" t="s">
        <v>54</v>
      </c>
      <c r="C25" s="8">
        <f>SUM(C23:C24)</f>
        <v>3</v>
      </c>
    </row>
    <row r="26" spans="2:11" x14ac:dyDescent="0.55000000000000004">
      <c r="B26" s="7" t="s">
        <v>62</v>
      </c>
      <c r="C26" s="8">
        <f>IF(C25=0,0,ROUND((C25/C22)*100,1))</f>
        <v>6.8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BC43F-12E7-4710-B055-CE163C66134D}">
  <sheetPr codeName="Sheet17"/>
  <dimension ref="B2:P26"/>
  <sheetViews>
    <sheetView tabSelected="1" topLeftCell="A12" workbookViewId="0">
      <selection activeCell="C10" sqref="C10"/>
    </sheetView>
  </sheetViews>
  <sheetFormatPr defaultRowHeight="18" x14ac:dyDescent="0.55000000000000004"/>
  <cols>
    <col min="2" max="2" width="25.33203125" customWidth="1"/>
    <col min="8" max="8" width="11.75" bestFit="1" customWidth="1"/>
    <col min="15" max="15" width="23.9140625" bestFit="1" customWidth="1"/>
  </cols>
  <sheetData>
    <row r="2" spans="2:16" ht="20" x14ac:dyDescent="0.55000000000000004">
      <c r="B2" s="6" t="s">
        <v>76</v>
      </c>
    </row>
    <row r="4" spans="2:16" x14ac:dyDescent="0.55000000000000004">
      <c r="B4" t="s">
        <v>57</v>
      </c>
      <c r="O4" s="9"/>
      <c r="P4" s="9"/>
    </row>
    <row r="5" spans="2:16" x14ac:dyDescent="0.55000000000000004">
      <c r="O5" s="9"/>
      <c r="P5" s="9"/>
    </row>
    <row r="6" spans="2:16" x14ac:dyDescent="0.55000000000000004">
      <c r="B6" s="4" t="s">
        <v>37</v>
      </c>
      <c r="C6" s="4" t="s">
        <v>42</v>
      </c>
      <c r="D6" s="4" t="s">
        <v>43</v>
      </c>
      <c r="E6" s="4" t="s">
        <v>44</v>
      </c>
      <c r="F6" s="4" t="s">
        <v>45</v>
      </c>
      <c r="G6" s="4" t="s">
        <v>46</v>
      </c>
      <c r="H6" s="4" t="s">
        <v>47</v>
      </c>
      <c r="I6" s="4" t="s">
        <v>48</v>
      </c>
      <c r="J6" s="4" t="s">
        <v>49</v>
      </c>
      <c r="K6" s="4" t="s">
        <v>50</v>
      </c>
      <c r="O6" s="9"/>
      <c r="P6" s="9"/>
    </row>
    <row r="7" spans="2:16" x14ac:dyDescent="0.55000000000000004">
      <c r="B7" s="4" t="s">
        <v>38</v>
      </c>
      <c r="C7" s="1"/>
      <c r="D7" s="1"/>
      <c r="E7" s="1"/>
      <c r="F7" s="1"/>
      <c r="G7" s="1"/>
      <c r="H7" s="1"/>
      <c r="I7" s="1"/>
      <c r="J7" s="1"/>
      <c r="K7" s="8"/>
      <c r="O7" s="9"/>
      <c r="P7" s="9"/>
    </row>
    <row r="8" spans="2:16" x14ac:dyDescent="0.55000000000000004">
      <c r="B8" s="4" t="s">
        <v>39</v>
      </c>
      <c r="C8" s="1"/>
      <c r="D8" s="1"/>
      <c r="E8" s="1"/>
      <c r="F8" s="1"/>
      <c r="G8" s="1"/>
      <c r="H8" s="1"/>
      <c r="I8" s="1"/>
      <c r="J8" s="1"/>
      <c r="K8" s="8"/>
      <c r="O8" s="9"/>
      <c r="P8" s="9"/>
    </row>
    <row r="9" spans="2:16" x14ac:dyDescent="0.55000000000000004">
      <c r="B9" s="4" t="s">
        <v>40</v>
      </c>
      <c r="C9" s="1"/>
      <c r="D9" s="1"/>
      <c r="E9" s="1"/>
      <c r="F9" s="1"/>
      <c r="G9" s="1"/>
      <c r="H9" s="1"/>
      <c r="I9" s="1"/>
      <c r="J9" s="1"/>
      <c r="K9" s="8"/>
      <c r="O9" s="9"/>
      <c r="P9" s="9"/>
    </row>
    <row r="12" spans="2:16" x14ac:dyDescent="0.55000000000000004">
      <c r="B12" t="s">
        <v>58</v>
      </c>
    </row>
    <row r="14" spans="2:16" x14ac:dyDescent="0.55000000000000004">
      <c r="B14" s="2" t="s">
        <v>37</v>
      </c>
      <c r="C14" s="2" t="s">
        <v>42</v>
      </c>
      <c r="D14" s="2" t="s">
        <v>43</v>
      </c>
      <c r="E14" s="2" t="s">
        <v>44</v>
      </c>
      <c r="F14" s="2" t="s">
        <v>45</v>
      </c>
      <c r="G14" s="2" t="s">
        <v>46</v>
      </c>
      <c r="H14" s="2" t="s">
        <v>47</v>
      </c>
      <c r="I14" s="2" t="s">
        <v>48</v>
      </c>
      <c r="J14" s="2" t="s">
        <v>49</v>
      </c>
      <c r="K14" s="2" t="s">
        <v>50</v>
      </c>
    </row>
    <row r="15" spans="2:16" x14ac:dyDescent="0.55000000000000004">
      <c r="B15" s="2" t="s">
        <v>59</v>
      </c>
      <c r="C15" s="1"/>
      <c r="D15" s="1"/>
      <c r="E15" s="1"/>
      <c r="F15" s="1"/>
      <c r="G15" s="1"/>
      <c r="H15" s="1"/>
      <c r="I15" s="1"/>
      <c r="J15" s="1"/>
      <c r="K15" s="8"/>
    </row>
    <row r="16" spans="2:16" x14ac:dyDescent="0.55000000000000004">
      <c r="B16" s="2" t="s">
        <v>60</v>
      </c>
      <c r="C16" s="1"/>
      <c r="D16" s="1"/>
      <c r="E16" s="1"/>
      <c r="F16" s="1"/>
      <c r="G16" s="1"/>
      <c r="H16" s="1"/>
      <c r="I16" s="1"/>
      <c r="J16" s="1"/>
      <c r="K16" s="8"/>
    </row>
    <row r="17" spans="2:11" x14ac:dyDescent="0.55000000000000004">
      <c r="B17" s="2" t="s">
        <v>50</v>
      </c>
      <c r="C17" s="1"/>
      <c r="D17" s="1"/>
      <c r="E17" s="1"/>
      <c r="F17" s="1"/>
      <c r="G17" s="1"/>
      <c r="H17" s="1"/>
      <c r="I17" s="1"/>
      <c r="J17" s="1"/>
      <c r="K17" s="8"/>
    </row>
    <row r="21" spans="2:11" x14ac:dyDescent="0.55000000000000004">
      <c r="B21" s="5" t="s">
        <v>55</v>
      </c>
      <c r="C21" s="5" t="s">
        <v>56</v>
      </c>
    </row>
    <row r="22" spans="2:11" x14ac:dyDescent="0.55000000000000004">
      <c r="B22" s="1" t="s">
        <v>51</v>
      </c>
      <c r="C22" s="1">
        <v>1164</v>
      </c>
    </row>
    <row r="23" spans="2:11" x14ac:dyDescent="0.55000000000000004">
      <c r="B23" s="1" t="s">
        <v>52</v>
      </c>
      <c r="C23" s="1">
        <v>22</v>
      </c>
    </row>
    <row r="24" spans="2:11" x14ac:dyDescent="0.55000000000000004">
      <c r="B24" s="1" t="s">
        <v>53</v>
      </c>
      <c r="C24" s="1">
        <v>0</v>
      </c>
    </row>
    <row r="25" spans="2:11" x14ac:dyDescent="0.55000000000000004">
      <c r="B25" s="1" t="s">
        <v>54</v>
      </c>
      <c r="C25" s="8">
        <f>SUM(C23:C24)</f>
        <v>22</v>
      </c>
    </row>
    <row r="26" spans="2:11" x14ac:dyDescent="0.55000000000000004">
      <c r="B26" s="7" t="s">
        <v>62</v>
      </c>
      <c r="C26" s="8">
        <f>IF(C25=0,0,ROUND((C25/C22)*100,1))</f>
        <v>1.9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マクロフォーム</vt:lpstr>
      <vt:lpstr>勤務オフィスリスト</vt:lpstr>
      <vt:lpstr>AIH.HDC(札幌)</vt:lpstr>
      <vt:lpstr>福島(会津)</vt:lpstr>
      <vt:lpstr>中之島</vt:lpstr>
      <vt:lpstr>心斎橋</vt:lpstr>
      <vt:lpstr>AIC</vt:lpstr>
      <vt:lpstr>AIR</vt:lpstr>
      <vt:lpstr>AIT</vt:lpstr>
      <vt:lpstr>福岡</vt:lpstr>
      <vt:lpstr>博多</vt:lpstr>
      <vt:lpstr>熊本</vt:lpstr>
      <vt:lpstr>TSC</vt:lpstr>
      <vt:lpstr>名古屋</vt:lpstr>
      <vt:lpstr>新高円寺</vt:lpstr>
      <vt:lpstr>仙台</vt:lpstr>
      <vt:lpstr>MM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2024-11-18T07:22:36Z</dcterms:created>
  <dcterms:modified xsi:type="dcterms:W3CDTF">2024-11-19T08:30:00Z</dcterms:modified>
</cp:coreProperties>
</file>