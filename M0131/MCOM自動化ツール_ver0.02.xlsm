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COM\マクロ\"/>
    </mc:Choice>
  </mc:AlternateContent>
  <xr:revisionPtr revIDLastSave="0" documentId="13_ncr:1_{D2EDBBC5-697C-4CEA-BA58-440C0AAEC547}" xr6:coauthVersionLast="47" xr6:coauthVersionMax="47" xr10:uidLastSave="{00000000-0000-0000-0000-000000000000}"/>
  <bookViews>
    <workbookView xWindow="-110" yWindow="-110" windowWidth="19420" windowHeight="11500" activeTab="3" xr2:uid="{FE09BE52-B609-4D45-A819-D04D8184764C}"/>
  </bookViews>
  <sheets>
    <sheet name="Main" sheetId="1" r:id="rId1"/>
    <sheet name="パラメーター" sheetId="2" state="hidden" r:id="rId2"/>
    <sheet name="キャリアサイト最終化" sheetId="4" r:id="rId3"/>
    <sheet name="キャリアブログ最終化" sheetId="6" r:id="rId4"/>
    <sheet name="param" sheetId="3" r:id="rId5"/>
  </sheets>
  <functionGroups builtInGroupCount="19"/>
  <definedNames>
    <definedName name="FilePath_CareerBlogLog">Main!#REF!</definedName>
    <definedName name="FilePath_CareerBlogReport">Main!#REF!</definedName>
    <definedName name="FilePath_CareerSiteLogApplyClicks">Main!#REF!</definedName>
    <definedName name="FilePath_CareerSiteLogApplyClicksJP">Main!#REF!</definedName>
    <definedName name="FilePath_CareerSiteLogPVUUJS">Main!#REF!</definedName>
    <definedName name="FilePath_CareerSiteMaster">Main!#REF!</definedName>
    <definedName name="FilePath_CareerSiteReport">Main!#REF!</definedName>
    <definedName name="Input_FY">Main!$D$18</definedName>
    <definedName name="Input_MM">Main!$D$19</definedName>
    <definedName name="LogItem_ACJ">パラメーター!$D$7</definedName>
    <definedName name="LogItem_JS">パラメーター!$D$6</definedName>
    <definedName name="LogItem_PV">パラメーター!$D$4</definedName>
    <definedName name="LogItem_UU">パラメーター!$D$5</definedName>
    <definedName name="LogItemB_ACS">パラメーター!$H$7</definedName>
    <definedName name="LogItemB_EV">パラメーター!$H$8</definedName>
    <definedName name="LogItemB_PV">パラメーター!$H$4</definedName>
    <definedName name="LogItemB_UV">パラメーター!$H$5</definedName>
    <definedName name="LogItemB_V">パラメーター!$H$6</definedName>
    <definedName name="ReportItem_ACS">パラメーター!$G$7</definedName>
    <definedName name="ReportItem_EV">パラメーター!$G$8</definedName>
    <definedName name="ReportItem_PV">パラメーター!$G$4</definedName>
    <definedName name="ReportItem_UV">パラメーター!$G$5</definedName>
    <definedName name="ReportItem_V">パラメーター!$G$6</definedName>
    <definedName name="ReportName_FYACJ">パラメーター!$B$7</definedName>
    <definedName name="ReportName_FYJS">パラメーター!$B$6</definedName>
    <definedName name="ReportName_FYPV">パラメーター!$B$4</definedName>
    <definedName name="ReportName_FYUU">パラメーター!$B$5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6" l="1"/>
</calcChain>
</file>

<file path=xl/sharedStrings.xml><?xml version="1.0" encoding="utf-8"?>
<sst xmlns="http://schemas.openxmlformats.org/spreadsheetml/2006/main" count="126" uniqueCount="85">
  <si>
    <t>[3]マスタ:</t>
    <phoneticPr fontId="6"/>
  </si>
  <si>
    <t>FY</t>
    <phoneticPr fontId="2"/>
  </si>
  <si>
    <t>月(半角数字2桁)</t>
    <rPh sb="0" eb="1">
      <t>ツキ</t>
    </rPh>
    <rPh sb="2" eb="4">
      <t>ハンカク</t>
    </rPh>
    <rPh sb="4" eb="6">
      <t>スウジ</t>
    </rPh>
    <rPh sb="7" eb="8">
      <t>ケタ</t>
    </rPh>
    <phoneticPr fontId="2"/>
  </si>
  <si>
    <t>キャリアサイト</t>
    <phoneticPr fontId="15"/>
  </si>
  <si>
    <t>キャリアブログ</t>
    <phoneticPr fontId="15"/>
  </si>
  <si>
    <t>この列は変更しないでください</t>
    <phoneticPr fontId="15"/>
  </si>
  <si>
    <t>この列は変更しないでください</t>
    <rPh sb="2" eb="3">
      <t>レツ</t>
    </rPh>
    <rPh sb="4" eb="6">
      <t>ヘンコウ</t>
    </rPh>
    <phoneticPr fontId="15"/>
  </si>
  <si>
    <t>レポートのシート名</t>
    <rPh sb="8" eb="9">
      <t>メイ</t>
    </rPh>
    <phoneticPr fontId="15"/>
  </si>
  <si>
    <t>シート名作成用</t>
    <rPh sb="3" eb="4">
      <t>メイ</t>
    </rPh>
    <rPh sb="4" eb="6">
      <t>サクセイ</t>
    </rPh>
    <rPh sb="6" eb="7">
      <t>ヨウ</t>
    </rPh>
    <phoneticPr fontId="15"/>
  </si>
  <si>
    <t>ログの項目名</t>
    <rPh sb="3" eb="6">
      <t>コウモクメイ</t>
    </rPh>
    <phoneticPr fontId="15"/>
  </si>
  <si>
    <t>レポートの項目名</t>
    <rPh sb="5" eb="8">
      <t>コウモクメイ</t>
    </rPh>
    <phoneticPr fontId="15"/>
  </si>
  <si>
    <t>PV</t>
    <phoneticPr fontId="15"/>
  </si>
  <si>
    <t>PV</t>
  </si>
  <si>
    <t>Page Views</t>
    <phoneticPr fontId="2"/>
  </si>
  <si>
    <t>UU</t>
    <phoneticPr fontId="15"/>
  </si>
  <si>
    <t>Unique Visitors</t>
  </si>
  <si>
    <t>Unique Visitors</t>
    <phoneticPr fontId="15"/>
  </si>
  <si>
    <t>Visits</t>
    <phoneticPr fontId="15"/>
  </si>
  <si>
    <t>Visits</t>
  </si>
  <si>
    <t>Apply Clicks by Job</t>
    <phoneticPr fontId="15"/>
  </si>
  <si>
    <t>Recruitment and Careers -  Job Apply Button Click (e16)</t>
  </si>
  <si>
    <t>Active career seeker rate</t>
    <phoneticPr fontId="2"/>
  </si>
  <si>
    <t>％Active 
career seeker</t>
  </si>
  <si>
    <t>% Active career seeker (Official 2020)</t>
  </si>
  <si>
    <t>Engaged visit rate</t>
    <phoneticPr fontId="15"/>
  </si>
  <si>
    <t>Engaged visit rate</t>
  </si>
  <si>
    <t>Main画面の[3]レポート作成年月と、ログの項目名からレポートのシート名を自動生成していますので転記先のシート名と一致しているか確認してください。</t>
    <rPh sb="4" eb="6">
      <t>ガメン</t>
    </rPh>
    <rPh sb="23" eb="26">
      <t>コウモクメイ</t>
    </rPh>
    <rPh sb="36" eb="37">
      <t>メイ</t>
    </rPh>
    <rPh sb="38" eb="40">
      <t>ジドウ</t>
    </rPh>
    <rPh sb="40" eb="42">
      <t>セイセイ</t>
    </rPh>
    <rPh sb="49" eb="51">
      <t>テンキ</t>
    </rPh>
    <rPh sb="51" eb="52">
      <t>サキ</t>
    </rPh>
    <rPh sb="56" eb="57">
      <t>メイ</t>
    </rPh>
    <rPh sb="58" eb="60">
      <t>イッチ</t>
    </rPh>
    <rPh sb="65" eb="67">
      <t>カクニン</t>
    </rPh>
    <phoneticPr fontId="15"/>
  </si>
  <si>
    <t>シート名称が変更された場合、修正してください。</t>
    <rPh sb="3" eb="5">
      <t>メイショウ</t>
    </rPh>
    <phoneticPr fontId="15"/>
  </si>
  <si>
    <r>
      <rPr>
        <sz val="9"/>
        <color rgb="FF4106B8"/>
        <rFont val="Meiryo UI"/>
        <family val="3"/>
        <charset val="128"/>
      </rPr>
      <t>ログ内の項目名が変更された場合、修正してください</t>
    </r>
    <r>
      <rPr>
        <sz val="9"/>
        <color rgb="FF4106B8"/>
        <rFont val="Yu Gothic"/>
        <family val="2"/>
        <charset val="128"/>
      </rPr>
      <t>。</t>
    </r>
    <rPh sb="2" eb="3">
      <t>ナイ</t>
    </rPh>
    <rPh sb="4" eb="7">
      <t>コウモクメイ</t>
    </rPh>
    <rPh sb="8" eb="10">
      <t>ヘンコウ</t>
    </rPh>
    <rPh sb="13" eb="15">
      <t>バアイ</t>
    </rPh>
    <rPh sb="16" eb="18">
      <t>シュウセイ</t>
    </rPh>
    <phoneticPr fontId="15"/>
  </si>
  <si>
    <t>レポートに記載する項目名が変更された場合、修正してください。</t>
    <phoneticPr fontId="15"/>
  </si>
  <si>
    <t>% Engaged Visits (Official - 2020)</t>
    <phoneticPr fontId="2"/>
  </si>
  <si>
    <t>ページビュー</t>
  </si>
  <si>
    <t>ユニーク訪問者</t>
  </si>
  <si>
    <t>訪問回数</t>
  </si>
  <si>
    <t>FY24 Apply Clicks by Job</t>
  </si>
  <si>
    <t>Active Career Seekers (Official 2020)</t>
  </si>
  <si>
    <t>Active Career Seekers</t>
  </si>
  <si>
    <t>Active Career Seekers</t>
    <phoneticPr fontId="2"/>
  </si>
  <si>
    <t>ページビュー</t>
    <phoneticPr fontId="2"/>
  </si>
  <si>
    <t>ユニーク訪問者</t>
    <phoneticPr fontId="2"/>
  </si>
  <si>
    <t>26</t>
    <phoneticPr fontId="2"/>
  </si>
  <si>
    <t>FY26 PV</t>
    <phoneticPr fontId="2"/>
  </si>
  <si>
    <t>FY26 UU</t>
    <phoneticPr fontId="2"/>
  </si>
  <si>
    <t>FY26 Active Career Seekers</t>
    <phoneticPr fontId="2"/>
  </si>
  <si>
    <t>UU</t>
    <phoneticPr fontId="2"/>
  </si>
  <si>
    <t>Apply Clicks by Job</t>
    <phoneticPr fontId="2"/>
  </si>
  <si>
    <t>A列とB列は変更しないでください</t>
    <rPh sb="4" eb="5">
      <t>レツ</t>
    </rPh>
    <phoneticPr fontId="15"/>
  </si>
  <si>
    <t>キャリアサイトのアクセスログ
（PV,UU,Job search）</t>
    <phoneticPr fontId="2"/>
  </si>
  <si>
    <t>[1]インプットファイルパス指定:</t>
    <rPh sb="14" eb="16">
      <t>シテイ</t>
    </rPh>
    <phoneticPr fontId="6"/>
  </si>
  <si>
    <t>[3]レポート作成FY月:</t>
    <rPh sb="7" eb="9">
      <t>サクセイ</t>
    </rPh>
    <rPh sb="11" eb="12">
      <t>ツキ</t>
    </rPh>
    <phoneticPr fontId="2"/>
  </si>
  <si>
    <t>[2]アウトプットファイルパス設定:</t>
    <rPh sb="15" eb="17">
      <t>セッテイ</t>
    </rPh>
    <phoneticPr fontId="6"/>
  </si>
  <si>
    <t>キャリアサイトのアクセスレポート</t>
    <phoneticPr fontId="6"/>
  </si>
  <si>
    <t>キャリアブログのアクセスレポート</t>
    <phoneticPr fontId="6"/>
  </si>
  <si>
    <t>レポートの列名(アルファベット)</t>
    <rPh sb="5" eb="7">
      <t>レツメイ</t>
    </rPh>
    <phoneticPr fontId="2"/>
  </si>
  <si>
    <t>D</t>
    <phoneticPr fontId="2"/>
  </si>
  <si>
    <t>E</t>
    <phoneticPr fontId="2"/>
  </si>
  <si>
    <t>F</t>
    <phoneticPr fontId="2"/>
  </si>
  <si>
    <t>G</t>
    <phoneticPr fontId="2"/>
  </si>
  <si>
    <t>H</t>
    <phoneticPr fontId="2"/>
  </si>
  <si>
    <t>% Active career seeker (Official 2020)</t>
    <phoneticPr fontId="2"/>
  </si>
  <si>
    <t>キャリアサイト最終化用作業用自動生成ツール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</si>
  <si>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 xml:space="preserve">キャリアサイトの最終納品ファイル
</t>
    <rPh sb="8" eb="10">
      <t>サイシュウ</t>
    </rPh>
    <rPh sb="10" eb="12">
      <t>ノウヒン</t>
    </rPh>
    <phoneticPr fontId="2"/>
  </si>
  <si>
    <t>[1]キャリアサイト最終納品ファイルパス指定:</t>
    <rPh sb="10" eb="12">
      <t>サイシュウ</t>
    </rPh>
    <rPh sb="12" eb="14">
      <t>ノウヒン</t>
    </rPh>
    <rPh sb="20" eb="22">
      <t>シテイ</t>
    </rPh>
    <phoneticPr fontId="6"/>
  </si>
  <si>
    <t>Summary転記用補助ファイル</t>
    <rPh sb="7" eb="10">
      <t>テンキヨウ</t>
    </rPh>
    <rPh sb="10" eb="12">
      <t>ホジョ</t>
    </rPh>
    <phoneticPr fontId="6"/>
  </si>
  <si>
    <t>キャリアサイト、キャリアブログのアクセスレポート自動生成ツール</t>
    <phoneticPr fontId="6"/>
  </si>
  <si>
    <t>キャリアブログのアクセスログ
(単月)</t>
    <rPh sb="16" eb="18">
      <t>タンツキ</t>
    </rPh>
    <phoneticPr fontId="2"/>
  </si>
  <si>
    <t>キャリアブログのアクセスログ
(累計)</t>
    <rPh sb="16" eb="18">
      <t>ルイケイ</t>
    </rPh>
    <phoneticPr fontId="2"/>
  </si>
  <si>
    <t>C:\MCOM\マクロ\Summary転記用補助シート_v0.08.xlsx</t>
    <phoneticPr fontId="2"/>
  </si>
  <si>
    <t>キャリアブログ最終化用作業用自動生成ツール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</si>
  <si>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>キャリアブログレポートファイル</t>
    <phoneticPr fontId="2"/>
  </si>
  <si>
    <t>[2]転記用補助シートのファイルパス設定:</t>
    <rPh sb="3" eb="5">
      <t>テンキ</t>
    </rPh>
    <rPh sb="5" eb="6">
      <t>ヨウ</t>
    </rPh>
    <rPh sb="6" eb="8">
      <t>ホジョ</t>
    </rPh>
    <rPh sb="18" eb="20">
      <t>セッテイ</t>
    </rPh>
    <phoneticPr fontId="6"/>
  </si>
  <si>
    <t>[1]キャリアブログレポートのファイルパス指定:</t>
    <rPh sb="21" eb="23">
      <t>シテイ</t>
    </rPh>
    <phoneticPr fontId="6"/>
  </si>
  <si>
    <t>[2]RAD版のファイルパス設定:</t>
    <rPh sb="6" eb="7">
      <t>バン</t>
    </rPh>
    <rPh sb="14" eb="16">
      <t>セッテイ</t>
    </rPh>
    <phoneticPr fontId="6"/>
  </si>
  <si>
    <t>RAD版キャリアブログCSVログファイル(単月)</t>
    <rPh sb="3" eb="4">
      <t>バン</t>
    </rPh>
    <rPh sb="21" eb="23">
      <t>タンツキ</t>
    </rPh>
    <phoneticPr fontId="2"/>
  </si>
  <si>
    <t>RAD版キャリアブログCSVログファイル(累計)</t>
    <rPh sb="3" eb="4">
      <t>バン</t>
    </rPh>
    <rPh sb="21" eb="23">
      <t>ルイケイ</t>
    </rPh>
    <phoneticPr fontId="2"/>
  </si>
  <si>
    <t>Mainシートのキャリアブログレポートと同一のファイルパスが入るので、修正不可。</t>
    <rPh sb="20" eb="22">
      <t>ドウイツ</t>
    </rPh>
    <rPh sb="30" eb="31">
      <t>ハイ</t>
    </rPh>
    <rPh sb="35" eb="39">
      <t>シュウセイフカ</t>
    </rPh>
    <phoneticPr fontId="2"/>
  </si>
  <si>
    <t>06</t>
    <phoneticPr fontId="2"/>
  </si>
  <si>
    <t>C:\MCOM\マクロ\FY2606\①FY24 Japan Candidate Pages and Campaign Monitoring - Accenture Prod (as of 8-23-2019) - 2026年8月28日.csv</t>
    <phoneticPr fontId="2"/>
  </si>
  <si>
    <t>C:\MCOM\マクロ\FY2606\⑥累計Japan Careers Blog Report  - Accenture Prod (as of 8-23-2019) - 2026年8月28日.csv</t>
    <phoneticPr fontId="2"/>
  </si>
  <si>
    <t>C:\MCOM\マクロ\FY2606\③単月Japan Careers Blog Report  - Accenture Prod (as of 8-23-2019) - 2026年8月28日.csv</t>
    <phoneticPr fontId="2"/>
  </si>
  <si>
    <t>C:\MCOM\マクロ\FY2606\④【キャリアサイトアクセスレポート】Japan Career Site CVR Report_Master_2 (1).xlsx</t>
    <phoneticPr fontId="2"/>
  </si>
  <si>
    <t>C:\MCOM\マクロ\FY2606\⑤【キャリアブログアクセスレポート】Careers_Blog_Data Sheet_FY26_作業用 (1).xlsx</t>
    <phoneticPr fontId="2"/>
  </si>
  <si>
    <t>C:\MCOM\マクロ\FY2606\【納品用】Japan Career Site CVR Report_Master_FY2606.xlsx</t>
    <phoneticPr fontId="2"/>
  </si>
  <si>
    <t>C:\MCOM\マクロ\FY2606\RAD単月Japan Careers Blog Report_v2 - Accenture Prod (as of 8-23-2019) - 2026年8月28日.csv</t>
    <phoneticPr fontId="2"/>
  </si>
  <si>
    <t>C:\MCOM\マクロ\FY2606\RAD累計Japan Careers Blog Report_v2 - Accenture Prod (as of 8-23-2019) - 2026年8月28日.csv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</si>
</sst>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rgb="FF000000"/>
      <name val="游ゴシック"/>
      <family val="2"/>
      <charset val="128"/>
    </font>
    <font>
      <b/>
      <sz val="14"/>
      <color rgb="FF000000"/>
      <name val="Meiryo UI"/>
      <family val="3"/>
      <charset val="128"/>
    </font>
    <font>
      <sz val="6"/>
      <name val="游ゴシック"/>
      <family val="2"/>
      <charset val="128"/>
    </font>
    <font>
      <sz val="11"/>
      <color rgb="FF00000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sz val="9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6"/>
      <name val="Meiryo UI"/>
      <family val="2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name val="ＭＳ ゴシック"/>
      <family val="3"/>
      <charset val="128"/>
    </font>
    <font>
      <sz val="9"/>
      <color rgb="FF4106B8"/>
      <name val="Meiryo UI"/>
      <family val="3"/>
      <charset val="128"/>
    </font>
    <font>
      <sz val="9"/>
      <color rgb="FF4106B8"/>
      <name val="Arial"/>
      <family val="3"/>
      <charset val="128"/>
    </font>
    <font>
      <sz val="9"/>
      <color rgb="FF4106B8"/>
      <name val="Yu Gothic"/>
      <family val="2"/>
      <charset val="128"/>
    </font>
    <font>
      <sz val="8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B4C6E7"/>
        <bgColor rgb="FF000000"/>
      </patternFill>
    </fill>
    <fill>
      <patternFill patternType="solid">
        <fgColor rgb="FF4472C4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249977111117893"/>
        <bgColor rgb="FF000000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3" fillId="0" borderId="0"/>
    <xf numFmtId="0" fontId="18" fillId="0" borderId="0"/>
  </cellStyleXfs>
  <cellXfs count="66">
    <xf numFmtId="0" fontId="0" fillId="0" borderId="0" xfId="0">
      <alignment vertical="center"/>
    </xf>
    <xf numFmtId="0" fontId="5" fillId="0" borderId="0" xfId="1" applyFont="1">
      <alignment vertical="center"/>
    </xf>
    <xf numFmtId="0" fontId="4" fillId="0" borderId="0" xfId="1" applyFont="1">
      <alignment vertical="center"/>
    </xf>
    <xf numFmtId="0" fontId="4" fillId="2" borderId="0" xfId="1" applyFont="1" applyFill="1">
      <alignment vertical="center"/>
    </xf>
    <xf numFmtId="0" fontId="7" fillId="2" borderId="0" xfId="2" applyFont="1" applyFill="1" applyAlignment="1">
      <alignment vertical="center"/>
    </xf>
    <xf numFmtId="0" fontId="8" fillId="2" borderId="0" xfId="2" applyFont="1" applyFill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7" fillId="0" borderId="1" xfId="1" applyFont="1" applyBorder="1" applyAlignment="1">
      <alignment vertical="center" wrapText="1"/>
    </xf>
    <xf numFmtId="0" fontId="4" fillId="2" borderId="1" xfId="1" applyFont="1" applyFill="1" applyBorder="1">
      <alignment vertical="center"/>
    </xf>
    <xf numFmtId="0" fontId="10" fillId="0" borderId="0" xfId="0" applyFont="1">
      <alignment vertical="center"/>
    </xf>
    <xf numFmtId="0" fontId="13" fillId="4" borderId="1" xfId="1" applyFont="1" applyFill="1" applyBorder="1" applyAlignment="1">
      <alignment horizontal="center" vertical="center" wrapText="1"/>
    </xf>
    <xf numFmtId="0" fontId="11" fillId="5" borderId="0" xfId="2" applyFont="1" applyFill="1" applyAlignment="1">
      <alignment vertical="center"/>
    </xf>
    <xf numFmtId="0" fontId="12" fillId="5" borderId="0" xfId="2" applyFont="1" applyFill="1" applyAlignment="1">
      <alignment vertical="center"/>
    </xf>
    <xf numFmtId="0" fontId="1" fillId="0" borderId="0" xfId="1">
      <alignment vertical="center"/>
    </xf>
    <xf numFmtId="0" fontId="1" fillId="5" borderId="0" xfId="1" applyFill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6" fillId="6" borderId="0" xfId="0" applyFont="1" applyFill="1">
      <alignment vertical="center"/>
    </xf>
    <xf numFmtId="0" fontId="14" fillId="6" borderId="0" xfId="0" applyFont="1" applyFill="1">
      <alignment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49" fontId="11" fillId="0" borderId="1" xfId="1" applyNumberFormat="1" applyFont="1" applyBorder="1" applyAlignment="1">
      <alignment horizontal="right" vertical="center" wrapText="1"/>
    </xf>
    <xf numFmtId="0" fontId="16" fillId="7" borderId="0" xfId="0" applyFont="1" applyFill="1">
      <alignment vertical="center"/>
    </xf>
    <xf numFmtId="0" fontId="16" fillId="7" borderId="0" xfId="3" applyFont="1" applyFill="1" applyAlignment="1">
      <alignment vertical="center"/>
    </xf>
    <xf numFmtId="0" fontId="16" fillId="7" borderId="0" xfId="3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16" fillId="0" borderId="0" xfId="3" applyFont="1" applyAlignment="1">
      <alignment vertical="center"/>
    </xf>
    <xf numFmtId="0" fontId="16" fillId="0" borderId="0" xfId="3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9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49" fontId="11" fillId="0" borderId="1" xfId="1" quotePrefix="1" applyNumberFormat="1" applyFont="1" applyBorder="1" applyAlignment="1">
      <alignment horizontal="right" vertical="center" wrapText="1"/>
    </xf>
    <xf numFmtId="0" fontId="7" fillId="8" borderId="1" xfId="1" applyFont="1" applyFill="1" applyBorder="1" applyAlignment="1">
      <alignment vertical="center" wrapText="1"/>
    </xf>
    <xf numFmtId="0" fontId="7" fillId="9" borderId="0" xfId="2" applyFont="1" applyFill="1" applyAlignment="1">
      <alignment vertical="center"/>
    </xf>
    <xf numFmtId="0" fontId="8" fillId="9" borderId="0" xfId="2" applyFont="1" applyFill="1" applyAlignment="1">
      <alignment vertical="center"/>
    </xf>
    <xf numFmtId="0" fontId="11" fillId="10" borderId="0" xfId="2" applyFont="1" applyFill="1" applyAlignment="1">
      <alignment vertical="center"/>
    </xf>
    <xf numFmtId="0" fontId="4" fillId="9" borderId="0" xfId="1" applyFont="1" applyFill="1">
      <alignment vertical="center"/>
    </xf>
    <xf numFmtId="0" fontId="12" fillId="10" borderId="0" xfId="2" applyFont="1" applyFill="1" applyAlignment="1">
      <alignment vertical="center"/>
    </xf>
    <xf numFmtId="0" fontId="4" fillId="9" borderId="1" xfId="1" applyFont="1" applyFill="1" applyBorder="1">
      <alignment vertical="center"/>
    </xf>
    <xf numFmtId="0" fontId="13" fillId="11" borderId="1" xfId="1" applyFont="1" applyFill="1" applyBorder="1" applyAlignment="1">
      <alignment horizontal="center" vertical="center" wrapText="1"/>
    </xf>
    <xf numFmtId="0" fontId="4" fillId="10" borderId="0" xfId="1" applyFont="1" applyFill="1">
      <alignment vertical="center"/>
    </xf>
    <xf numFmtId="0" fontId="0" fillId="10" borderId="0" xfId="0" applyFill="1">
      <alignment vertical="center"/>
    </xf>
    <xf numFmtId="0" fontId="9" fillId="12" borderId="1" xfId="1" applyFont="1" applyFill="1" applyBorder="1" applyAlignment="1">
      <alignment horizontal="center" vertical="center" wrapText="1"/>
    </xf>
    <xf numFmtId="0" fontId="7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11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3" fillId="0" borderId="0" xfId="1" applyFont="1" applyAlignment="1">
      <alignment horizontal="center" vertical="center" wrapText="1"/>
    </xf>
    <xf numFmtId="0" fontId="7" fillId="0" borderId="0" xfId="1" applyFont="1" applyAlignment="1">
      <alignment vertical="center" wrapText="1"/>
    </xf>
    <xf numFmtId="0" fontId="9" fillId="0" borderId="0" xfId="1" applyFont="1" applyAlignment="1">
      <alignment horizontal="center" vertical="center" wrapText="1"/>
    </xf>
    <xf numFmtId="0" fontId="7" fillId="13" borderId="0" xfId="2" applyFont="1" applyFill="1" applyAlignment="1">
      <alignment vertical="center"/>
    </xf>
    <xf numFmtId="0" fontId="8" fillId="13" borderId="0" xfId="2" applyFont="1" applyFill="1" applyAlignment="1">
      <alignment vertical="center"/>
    </xf>
    <xf numFmtId="0" fontId="11" fillId="14" borderId="0" xfId="2" applyFont="1" applyFill="1" applyAlignment="1">
      <alignment vertical="center"/>
    </xf>
    <xf numFmtId="0" fontId="4" fillId="13" borderId="0" xfId="1" applyFont="1" applyFill="1">
      <alignment vertical="center"/>
    </xf>
    <xf numFmtId="0" fontId="12" fillId="14" borderId="0" xfId="2" applyFont="1" applyFill="1" applyAlignment="1">
      <alignment vertical="center"/>
    </xf>
    <xf numFmtId="0" fontId="4" fillId="13" borderId="1" xfId="1" applyFont="1" applyFill="1" applyBorder="1">
      <alignment vertical="center"/>
    </xf>
    <xf numFmtId="0" fontId="4" fillId="14" borderId="0" xfId="1" applyFont="1" applyFill="1">
      <alignment vertical="center"/>
    </xf>
    <xf numFmtId="0" fontId="0" fillId="14" borderId="0" xfId="0" applyFill="1">
      <alignment vertical="center"/>
    </xf>
    <xf numFmtId="0" fontId="13" fillId="15" borderId="1" xfId="1" applyFont="1" applyFill="1" applyBorder="1" applyAlignment="1">
      <alignment horizontal="center" vertical="center" wrapText="1"/>
    </xf>
    <xf numFmtId="0" fontId="9" fillId="16" borderId="1" xfId="1" applyFont="1" applyFill="1" applyBorder="1" applyAlignment="1">
      <alignment horizontal="center" vertical="center" wrapText="1"/>
    </xf>
    <xf numFmtId="0" fontId="7" fillId="14" borderId="1" xfId="1" applyFont="1" applyFill="1" applyBorder="1" applyAlignment="1">
      <alignment vertical="center" wrapText="1"/>
    </xf>
    <xf numFmtId="0" fontId="8" fillId="13" borderId="1" xfId="1" applyFont="1" applyFill="1" applyBorder="1" applyAlignment="1">
      <alignment vertical="center" wrapText="1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</cellXfs>
  <cellStyles count="4">
    <cellStyle name="標準" xfId="0" builtinId="0"/>
    <cellStyle name="標準 2" xfId="1" xr:uid="{D7C7182A-F585-43FA-A1A3-5C8244A323D1}"/>
    <cellStyle name="標準 2 2" xfId="2" xr:uid="{63C4454C-93D8-4719-B173-8C3A4AA12D8D}"/>
    <cellStyle name="標準 3" xfId="3" xr:uid="{37AD478A-C025-47DA-93DA-AD421EC1C41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21</xdr:row>
          <xdr:rowOff>215900</xdr:rowOff>
        </xdr:from>
        <xdr:to>
          <xdr:col>3</xdr:col>
          <xdr:colOff>469900</xdr:colOff>
          <xdr:row>22</xdr:row>
          <xdr:rowOff>533400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アクセスレポート作成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5</xdr:row>
          <xdr:rowOff>69850</xdr:rowOff>
        </xdr:from>
        <xdr:to>
          <xdr:col>4</xdr:col>
          <xdr:colOff>2228850</xdr:colOff>
          <xdr:row>5</xdr:row>
          <xdr:rowOff>533400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6</xdr:row>
          <xdr:rowOff>63500</xdr:rowOff>
        </xdr:from>
        <xdr:to>
          <xdr:col>4</xdr:col>
          <xdr:colOff>2228850</xdr:colOff>
          <xdr:row>6</xdr:row>
          <xdr:rowOff>527050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12</xdr:row>
          <xdr:rowOff>76200</xdr:rowOff>
        </xdr:from>
        <xdr:to>
          <xdr:col>4</xdr:col>
          <xdr:colOff>2228850</xdr:colOff>
          <xdr:row>12</xdr:row>
          <xdr:rowOff>533400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7</xdr:row>
          <xdr:rowOff>63500</xdr:rowOff>
        </xdr:from>
        <xdr:to>
          <xdr:col>4</xdr:col>
          <xdr:colOff>2228850</xdr:colOff>
          <xdr:row>7</xdr:row>
          <xdr:rowOff>527050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311150</xdr:colOff>
          <xdr:row>6</xdr:row>
          <xdr:rowOff>165100</xdr:rowOff>
        </xdr:from>
        <xdr:to>
          <xdr:col>4</xdr:col>
          <xdr:colOff>2222500</xdr:colOff>
          <xdr:row>6</xdr:row>
          <xdr:rowOff>647700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31750</xdr:rowOff>
        </xdr:from>
        <xdr:to>
          <xdr:col>2</xdr:col>
          <xdr:colOff>2921000</xdr:colOff>
          <xdr:row>15</xdr:row>
          <xdr:rowOff>12700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キャリアサイト最終化ファイル作成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31750</xdr:rowOff>
        </xdr:from>
        <xdr:to>
          <xdr:col>2</xdr:col>
          <xdr:colOff>2921000</xdr:colOff>
          <xdr:row>16</xdr:row>
          <xdr:rowOff>12700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キャリアブログ最終化ファイル作成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3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235D3-0D16-4C4E-B2C7-3EDD7FB3DE37}">
  <sheetPr codeName="Sheet1"/>
  <dimension ref="A1:M24"/>
  <sheetViews>
    <sheetView topLeftCell="A13" zoomScale="69" zoomScaleNormal="69" workbookViewId="0">
      <selection activeCell="I19" sqref="I19"/>
    </sheetView>
  </sheetViews>
  <sheetFormatPr defaultColWidth="8.33203125" defaultRowHeight="18"/>
  <cols>
    <col min="1" max="2" width="5.08203125" style="2" customWidth="1"/>
    <col min="3" max="3" width="32.08203125" style="2" customWidth="1"/>
    <col min="4" max="4" width="68.75" style="2" customWidth="1"/>
    <col min="5" max="5" width="32.08203125" style="2" customWidth="1"/>
    <col min="6" max="6" width="5.08203125" style="2" customWidth="1"/>
    <col min="7" max="9" width="8.33203125" style="2"/>
    <col min="10" max="10" width="35" style="2" customWidth="1"/>
    <col min="11" max="11" width="54.9140625" style="2" customWidth="1"/>
    <col min="12" max="12" width="28.75" style="2" customWidth="1"/>
    <col min="13" max="16384" width="8.33203125" style="2"/>
  </cols>
  <sheetData>
    <row r="1" spans="1:13" ht="19.5">
      <c r="A1" s="1" t="s">
        <v>64</v>
      </c>
      <c r="I1" s="1"/>
    </row>
    <row r="3" spans="1:13" s="9" customFormat="1" ht="15" hidden="1">
      <c r="B3" s="4"/>
      <c r="C3" s="5" t="s">
        <v>0</v>
      </c>
      <c r="D3" s="4"/>
      <c r="E3" s="4"/>
      <c r="F3" s="4"/>
    </row>
    <row r="4" spans="1:13" ht="23.5" customHeight="1">
      <c r="B4" s="4"/>
      <c r="C4" s="5" t="s">
        <v>48</v>
      </c>
      <c r="D4" s="11"/>
      <c r="E4" s="3"/>
      <c r="F4" s="3"/>
      <c r="I4" s="45"/>
      <c r="J4" s="46"/>
      <c r="K4" s="47"/>
    </row>
    <row r="5" spans="1:13" ht="21" customHeight="1" thickBot="1">
      <c r="B5" s="4"/>
      <c r="C5" s="12"/>
      <c r="D5" s="11"/>
      <c r="E5" s="3"/>
      <c r="F5" s="3"/>
      <c r="I5" s="45"/>
      <c r="J5" s="48"/>
      <c r="K5" s="47"/>
    </row>
    <row r="6" spans="1:13" ht="50" customHeight="1" thickBot="1">
      <c r="B6" s="4"/>
      <c r="C6" s="10" t="s">
        <v>47</v>
      </c>
      <c r="D6" s="7" t="s">
        <v>77</v>
      </c>
      <c r="E6" s="8"/>
      <c r="F6" s="3"/>
      <c r="I6" s="45"/>
      <c r="J6" s="49"/>
      <c r="K6" s="50"/>
    </row>
    <row r="7" spans="1:13" ht="50" customHeight="1" thickBot="1">
      <c r="B7" s="4"/>
      <c r="C7" s="10" t="s">
        <v>65</v>
      </c>
      <c r="D7" s="34" t="s">
        <v>79</v>
      </c>
      <c r="E7" s="8"/>
      <c r="F7" s="3"/>
      <c r="I7" s="45"/>
    </row>
    <row r="8" spans="1:13" ht="51.5" customHeight="1" thickBot="1">
      <c r="B8" s="4"/>
      <c r="C8" s="10" t="s">
        <v>66</v>
      </c>
      <c r="D8" s="34" t="s">
        <v>78</v>
      </c>
      <c r="E8" s="8"/>
      <c r="F8" s="3"/>
    </row>
    <row r="9" spans="1:13" ht="14.5" customHeight="1">
      <c r="B9" s="4"/>
      <c r="C9" s="3"/>
      <c r="D9" s="3"/>
      <c r="E9" s="3"/>
      <c r="F9" s="3"/>
    </row>
    <row r="10" spans="1:13" ht="14.5" customHeight="1">
      <c r="B10" s="4"/>
      <c r="C10" s="5" t="s">
        <v>50</v>
      </c>
      <c r="D10" s="4"/>
      <c r="E10" s="4"/>
      <c r="F10" s="3"/>
      <c r="J10" s="46"/>
      <c r="K10" s="45"/>
      <c r="L10" s="45"/>
    </row>
    <row r="11" spans="1:13" ht="10" customHeight="1" thickBot="1">
      <c r="B11" s="4"/>
      <c r="C11" s="5"/>
      <c r="D11" s="4"/>
      <c r="E11" s="4"/>
      <c r="F11" s="3"/>
      <c r="J11" s="46"/>
      <c r="K11" s="45"/>
      <c r="L11" s="45"/>
    </row>
    <row r="12" spans="1:13" ht="44.5" customHeight="1" thickBot="1">
      <c r="B12" s="4"/>
      <c r="C12" s="6" t="s">
        <v>51</v>
      </c>
      <c r="D12" s="34" t="s">
        <v>80</v>
      </c>
      <c r="E12" s="8"/>
      <c r="F12" s="3"/>
      <c r="J12" s="51"/>
      <c r="K12" s="50"/>
    </row>
    <row r="13" spans="1:13" ht="46" customHeight="1" thickBot="1">
      <c r="B13" s="4"/>
      <c r="C13" s="6" t="s">
        <v>52</v>
      </c>
      <c r="D13" s="34" t="s">
        <v>81</v>
      </c>
      <c r="E13" s="8"/>
      <c r="F13" s="3"/>
      <c r="J13" s="51"/>
      <c r="K13" s="50"/>
    </row>
    <row r="14" spans="1:13" ht="17" customHeight="1">
      <c r="B14" s="4"/>
      <c r="C14" s="3"/>
      <c r="D14" s="3"/>
      <c r="E14" s="3"/>
      <c r="F14" s="3"/>
      <c r="I14"/>
      <c r="J14"/>
      <c r="K14"/>
      <c r="L14"/>
      <c r="M14"/>
    </row>
    <row r="15" spans="1:13" ht="12.5" customHeight="1">
      <c r="B15" s="4"/>
      <c r="C15" s="3"/>
      <c r="D15" s="3"/>
      <c r="E15" s="3"/>
      <c r="F15" s="3"/>
      <c r="I15"/>
      <c r="J15"/>
      <c r="K15"/>
      <c r="L15"/>
      <c r="M15"/>
    </row>
    <row r="16" spans="1:13" customFormat="1">
      <c r="B16" s="11"/>
      <c r="C16" s="12" t="s">
        <v>49</v>
      </c>
      <c r="D16" s="11"/>
      <c r="E16" s="11"/>
      <c r="F16" s="11"/>
      <c r="I16" s="13"/>
      <c r="J16" s="13"/>
      <c r="K16" s="13"/>
      <c r="L16" s="13"/>
      <c r="M16" s="13"/>
    </row>
    <row r="17" spans="2:13" customFormat="1" ht="11" customHeight="1" thickBot="1">
      <c r="B17" s="11"/>
      <c r="C17" s="12"/>
      <c r="D17" s="11"/>
      <c r="E17" s="11"/>
      <c r="F17" s="11"/>
      <c r="I17" s="13"/>
      <c r="J17" s="13"/>
      <c r="K17" s="13"/>
      <c r="L17" s="13"/>
      <c r="M17" s="13"/>
    </row>
    <row r="18" spans="2:13" s="13" customFormat="1" ht="47.25" customHeight="1" thickBot="1">
      <c r="B18" s="11"/>
      <c r="C18" s="10" t="s">
        <v>1</v>
      </c>
      <c r="D18" s="23" t="s">
        <v>40</v>
      </c>
      <c r="E18" s="14"/>
      <c r="F18" s="14"/>
      <c r="I18" s="2"/>
      <c r="J18" s="2"/>
      <c r="K18" s="2"/>
      <c r="L18" s="2"/>
      <c r="M18" s="2"/>
    </row>
    <row r="19" spans="2:13" s="13" customFormat="1" ht="47.25" customHeight="1" thickBot="1">
      <c r="B19" s="11"/>
      <c r="C19" s="10" t="s">
        <v>2</v>
      </c>
      <c r="D19" s="33" t="s">
        <v>76</v>
      </c>
      <c r="E19" s="14"/>
      <c r="F19" s="14"/>
      <c r="I19" s="2"/>
      <c r="J19" s="2"/>
      <c r="K19" s="2"/>
      <c r="L19" s="2"/>
      <c r="M19" s="2"/>
    </row>
    <row r="20" spans="2:13">
      <c r="B20" s="4"/>
      <c r="C20" s="3"/>
      <c r="D20" s="3"/>
      <c r="E20" s="3"/>
      <c r="F20" s="3"/>
    </row>
    <row r="21" spans="2:13">
      <c r="B21" s="4"/>
      <c r="C21" s="3"/>
      <c r="D21" s="3"/>
      <c r="E21" s="3"/>
      <c r="F21" s="3"/>
    </row>
    <row r="22" spans="2:13" ht="27.5" customHeight="1">
      <c r="B22" s="4"/>
      <c r="C22" s="4"/>
      <c r="D22" s="4"/>
      <c r="E22" s="4"/>
      <c r="F22" s="4"/>
    </row>
    <row r="23" spans="2:13" ht="47.25" customHeight="1">
      <c r="B23" s="4"/>
      <c r="C23" s="3"/>
      <c r="D23" s="3"/>
      <c r="E23" s="3"/>
      <c r="F23" s="3"/>
    </row>
    <row r="24" spans="2:13" ht="6" customHeight="1"/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6" r:id="rId4" name="Button 52">
              <controlPr defaultSize="0" print="0" autoFill="0" autoPict="0" macro="[0]!main1">
                <anchor moveWithCells="1" sizeWithCells="1">
                  <from>
                    <xdr:col>1</xdr:col>
                    <xdr:colOff>381000</xdr:colOff>
                    <xdr:row>21</xdr:row>
                    <xdr:rowOff>215900</xdr:rowOff>
                  </from>
                  <to>
                    <xdr:col>3</xdr:col>
                    <xdr:colOff>469900</xdr:colOff>
                    <xdr:row>22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" name="Button 73">
              <controlPr defaultSize="0" print="0" autoFill="0" autoPict="0" macro="[0]!BtnSelect_CareerSiteRepor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" name="Button 74">
              <controlPr defaultSize="0" print="0" autoFill="0" autoPict="0" macro="[0]!BtnSelect_CareerBlogReport_Click">
                <anchor moveWithCells="1" sizeWithCells="1">
                  <from>
                    <xdr:col>4</xdr:col>
                    <xdr:colOff>247650</xdr:colOff>
                    <xdr:row>12</xdr:row>
                    <xdr:rowOff>76200</xdr:rowOff>
                  </from>
                  <to>
                    <xdr:col>4</xdr:col>
                    <xdr:colOff>2228850</xdr:colOff>
                    <xdr:row>12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" name="Button 71">
              <controlPr defaultSize="0" print="0" autoFill="0" autoPict="0" macro="[0]!BtnSelect_CareerSiteLog_Click">
                <anchor moveWithCells="1" sizeWithCells="1">
                  <from>
                    <xdr:col>4</xdr:col>
                    <xdr:colOff>247650</xdr:colOff>
                    <xdr:row>5</xdr:row>
                    <xdr:rowOff>69850</xdr:rowOff>
                  </from>
                  <to>
                    <xdr:col>4</xdr:col>
                    <xdr:colOff>2228850</xdr:colOff>
                    <xdr:row>5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8" name="Button 72">
              <controlPr defaultSize="0" print="0" autoFill="0" autoPict="0" macro="[0]!BtnSelect_CareerBlogLog_Click">
                <anchor moveWithCells="1" sizeWithCells="1">
                  <from>
                    <xdr:col>4</xdr:col>
                    <xdr:colOff>247650</xdr:colOff>
                    <xdr:row>6</xdr:row>
                    <xdr:rowOff>63500</xdr:rowOff>
                  </from>
                  <to>
                    <xdr:col>4</xdr:col>
                    <xdr:colOff>2228850</xdr:colOff>
                    <xdr:row>6</xdr:row>
                    <xdr:rowOff>527050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Button 75">
              <controlPr defaultSize="0" print="0" autoFill="0" autoPict="0" macro="[0]!BtnSelect_CareerBlogLog_total_Click">
                <anchor moveWithCells="1" sizeWithCells="1">
                  <from>
                    <xdr:col>4</xdr:col>
                    <xdr:colOff>247650</xdr:colOff>
                    <xdr:row>7</xdr:row>
                    <xdr:rowOff>63500</xdr:rowOff>
                  </from>
                  <to>
                    <xdr:col>4</xdr:col>
                    <xdr:colOff>2228850</xdr:colOff>
                    <xdr:row>7</xdr:row>
                    <xdr:rowOff>527050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86A35-808E-4819-A4CC-3C357FFE1071}">
  <sheetPr codeName="Sheet2"/>
  <dimension ref="A1:H13"/>
  <sheetViews>
    <sheetView zoomScale="115" zoomScaleNormal="115" workbookViewId="0">
      <selection activeCell="C6" sqref="C6"/>
    </sheetView>
  </sheetViews>
  <sheetFormatPr defaultColWidth="8.58203125" defaultRowHeight="12.5"/>
  <cols>
    <col min="1" max="1" width="20.75" style="16" bestFit="1" customWidth="1"/>
    <col min="2" max="2" width="22.58203125" style="16" customWidth="1"/>
    <col min="3" max="3" width="17.83203125" style="16" customWidth="1"/>
    <col min="4" max="4" width="16.58203125" style="16" customWidth="1"/>
    <col min="5" max="5" width="8.58203125" style="16"/>
    <col min="6" max="6" width="18" style="16" customWidth="1"/>
    <col min="7" max="8" width="17.75" style="16" customWidth="1"/>
    <col min="9" max="16384" width="8.58203125" style="16"/>
  </cols>
  <sheetData>
    <row r="1" spans="1:8">
      <c r="A1" s="15" t="s">
        <v>3</v>
      </c>
      <c r="F1" s="15" t="s">
        <v>4</v>
      </c>
    </row>
    <row r="2" spans="1:8">
      <c r="A2" s="64" t="s">
        <v>5</v>
      </c>
      <c r="B2" s="64"/>
      <c r="C2" s="17"/>
      <c r="F2" s="17" t="s">
        <v>6</v>
      </c>
    </row>
    <row r="3" spans="1:8">
      <c r="A3" s="18"/>
      <c r="B3" s="19" t="s">
        <v>7</v>
      </c>
      <c r="C3" s="19" t="s">
        <v>8</v>
      </c>
      <c r="D3" s="19" t="s">
        <v>9</v>
      </c>
      <c r="F3" s="18"/>
      <c r="G3" s="19" t="s">
        <v>10</v>
      </c>
      <c r="H3" s="19" t="s">
        <v>9</v>
      </c>
    </row>
    <row r="4" spans="1:8">
      <c r="A4" s="24" t="s">
        <v>11</v>
      </c>
      <c r="B4" s="24" t="s">
        <v>41</v>
      </c>
      <c r="C4" s="16" t="s">
        <v>12</v>
      </c>
      <c r="D4" s="32" t="s">
        <v>38</v>
      </c>
      <c r="F4" s="25" t="s">
        <v>13</v>
      </c>
      <c r="G4" s="28" t="s">
        <v>13</v>
      </c>
      <c r="H4" s="28" t="s">
        <v>31</v>
      </c>
    </row>
    <row r="5" spans="1:8">
      <c r="A5" s="24" t="s">
        <v>14</v>
      </c>
      <c r="B5" s="24" t="s">
        <v>42</v>
      </c>
      <c r="C5" s="16" t="s">
        <v>44</v>
      </c>
      <c r="D5" s="32" t="s">
        <v>39</v>
      </c>
      <c r="F5" s="26" t="s">
        <v>16</v>
      </c>
      <c r="G5" s="29" t="s">
        <v>15</v>
      </c>
      <c r="H5" s="29" t="s">
        <v>32</v>
      </c>
    </row>
    <row r="6" spans="1:8" ht="25">
      <c r="A6" s="27" t="s">
        <v>36</v>
      </c>
      <c r="B6" s="24" t="s">
        <v>43</v>
      </c>
      <c r="C6" s="16" t="s">
        <v>37</v>
      </c>
      <c r="D6" s="32" t="s">
        <v>35</v>
      </c>
      <c r="F6" s="25" t="s">
        <v>17</v>
      </c>
      <c r="G6" s="28" t="s">
        <v>18</v>
      </c>
      <c r="H6" s="28" t="s">
        <v>33</v>
      </c>
    </row>
    <row r="7" spans="1:8" ht="37.5">
      <c r="A7" s="27" t="s">
        <v>19</v>
      </c>
      <c r="B7" s="24" t="s">
        <v>34</v>
      </c>
      <c r="C7" s="16" t="s">
        <v>45</v>
      </c>
      <c r="D7" s="32" t="s">
        <v>20</v>
      </c>
      <c r="F7" s="26" t="s">
        <v>21</v>
      </c>
      <c r="G7" s="29" t="s">
        <v>22</v>
      </c>
      <c r="H7" s="30" t="s">
        <v>23</v>
      </c>
    </row>
    <row r="8" spans="1:8" ht="25.5" customHeight="1">
      <c r="F8" s="26" t="s">
        <v>24</v>
      </c>
      <c r="G8" s="29" t="s">
        <v>25</v>
      </c>
      <c r="H8" s="30" t="s">
        <v>30</v>
      </c>
    </row>
    <row r="9" spans="1:8" ht="62.5">
      <c r="B9" s="20" t="s">
        <v>26</v>
      </c>
      <c r="C9" s="31" t="s">
        <v>27</v>
      </c>
      <c r="D9" s="21" t="s">
        <v>28</v>
      </c>
      <c r="G9" s="31" t="s">
        <v>29</v>
      </c>
      <c r="H9" s="21" t="s">
        <v>28</v>
      </c>
    </row>
    <row r="13" spans="1:8">
      <c r="D13" s="22"/>
      <c r="G13" s="22"/>
    </row>
  </sheetData>
  <mergeCells count="1">
    <mergeCell ref="A2:B2"/>
  </mergeCells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767D2-E37F-40EC-96FC-557CF536E096}">
  <sheetPr codeName="Sheet4"/>
  <dimension ref="B2:F16"/>
  <sheetViews>
    <sheetView topLeftCell="A3" zoomScale="76" zoomScaleNormal="76" workbookViewId="0">
      <selection activeCell="I10" sqref="I10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60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35"/>
      <c r="C5" s="36" t="s">
        <v>62</v>
      </c>
      <c r="D5" s="37"/>
      <c r="E5" s="38"/>
      <c r="F5" s="38"/>
    </row>
    <row r="6" spans="2:6" ht="18.5" thickBot="1">
      <c r="B6" s="35"/>
      <c r="C6" s="39"/>
      <c r="D6" s="37"/>
      <c r="E6" s="38"/>
      <c r="F6" s="38"/>
    </row>
    <row r="7" spans="2:6" ht="62.5" customHeight="1" thickBot="1">
      <c r="B7" s="35"/>
      <c r="C7" s="41" t="s">
        <v>61</v>
      </c>
      <c r="D7" s="7" t="s">
        <v>82</v>
      </c>
      <c r="E7" s="40"/>
      <c r="F7" s="38"/>
    </row>
    <row r="8" spans="2:6">
      <c r="B8" s="35"/>
      <c r="C8" s="38"/>
      <c r="D8" s="38"/>
      <c r="E8" s="38"/>
      <c r="F8" s="38"/>
    </row>
    <row r="9" spans="2:6">
      <c r="B9" s="42"/>
      <c r="C9" s="36" t="s">
        <v>70</v>
      </c>
      <c r="D9" s="42"/>
      <c r="E9" s="42"/>
      <c r="F9" s="42"/>
    </row>
    <row r="10" spans="2:6" ht="22.5" customHeight="1" thickBot="1">
      <c r="B10" s="42"/>
      <c r="C10" s="42"/>
      <c r="D10" s="42"/>
      <c r="E10" s="42"/>
      <c r="F10" s="42"/>
    </row>
    <row r="11" spans="2:6" ht="48.5" customHeight="1" thickBot="1">
      <c r="B11" s="43"/>
      <c r="C11" s="44" t="s">
        <v>63</v>
      </c>
      <c r="D11" s="34" t="s">
        <v>67</v>
      </c>
      <c r="E11" s="40"/>
      <c r="F11" s="43"/>
    </row>
    <row r="12" spans="2:6">
      <c r="B12" s="43"/>
      <c r="C12" s="43"/>
      <c r="D12" s="43"/>
      <c r="E12" s="43"/>
      <c r="F12" s="43"/>
    </row>
    <row r="13" spans="2:6">
      <c r="B13" s="43"/>
      <c r="C13" s="43"/>
      <c r="D13" s="43"/>
      <c r="E13" s="43"/>
      <c r="F13" s="43"/>
    </row>
    <row r="14" spans="2:6">
      <c r="B14" s="43"/>
      <c r="C14" s="43"/>
      <c r="D14" s="43"/>
      <c r="E14" s="43"/>
      <c r="F14" s="43"/>
    </row>
    <row r="15" spans="2:6">
      <c r="B15" s="43"/>
      <c r="C15" s="43"/>
      <c r="D15" s="43"/>
      <c r="E15" s="43"/>
      <c r="F15" s="43"/>
    </row>
    <row r="16" spans="2:6">
      <c r="B16" s="43"/>
      <c r="C16" s="43"/>
      <c r="D16" s="43"/>
      <c r="E16" s="43"/>
      <c r="F16" s="43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Select_CareerSiteFinal_Click">
                <anchor moveWithCells="1" sizeWithCells="1">
                  <from>
                    <xdr:col>4</xdr:col>
                    <xdr:colOff>311150</xdr:colOff>
                    <xdr:row>6</xdr:row>
                    <xdr:rowOff>165100</xdr:rowOff>
                  </from>
                  <to>
                    <xdr:col>4</xdr:col>
                    <xdr:colOff>2222500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main2">
                <anchor moveWithCells="1" sizeWithCells="1">
                  <from>
                    <xdr:col>2</xdr:col>
                    <xdr:colOff>0</xdr:colOff>
                    <xdr:row>12</xdr:row>
                    <xdr:rowOff>31750</xdr:rowOff>
                  </from>
                  <to>
                    <xdr:col>2</xdr:col>
                    <xdr:colOff>2921000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BtnSelect_SummaryFile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8C94-F425-4714-AAA1-F0BDEC5873B9}">
  <sheetPr codeName="Sheet5"/>
  <dimension ref="B2:F17"/>
  <sheetViews>
    <sheetView tabSelected="1" topLeftCell="A10" workbookViewId="0">
      <selection activeCell="C19" sqref="C19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68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52"/>
      <c r="C5" s="53" t="s">
        <v>71</v>
      </c>
      <c r="D5" s="54"/>
      <c r="E5" s="55"/>
      <c r="F5" s="55"/>
    </row>
    <row r="6" spans="2:6" ht="18.5" thickBot="1">
      <c r="B6" s="52"/>
      <c r="C6" s="56"/>
      <c r="D6" s="54"/>
      <c r="E6" s="55"/>
      <c r="F6" s="55"/>
    </row>
    <row r="7" spans="2:6" ht="62.5" customHeight="1" thickBot="1">
      <c r="B7" s="52"/>
      <c r="C7" s="60" t="s">
        <v>69</v>
      </c>
      <c r="D7" s="62" t="str">
        <f>Main!D13</f>
        <v>C:\MCOM\マクロ\FY2606\⑤【キャリアブログアクセスレポート】Careers_Blog_Data Sheet_FY26_作業用 (1).xlsx</v>
      </c>
      <c r="E7" s="63" t="s">
        <v>75</v>
      </c>
      <c r="F7" s="55"/>
    </row>
    <row r="8" spans="2:6">
      <c r="B8" s="52"/>
      <c r="C8" s="55"/>
      <c r="D8" s="55"/>
      <c r="E8" s="55"/>
      <c r="F8" s="55"/>
    </row>
    <row r="9" spans="2:6">
      <c r="B9" s="58"/>
      <c r="C9" s="53" t="s">
        <v>72</v>
      </c>
      <c r="D9" s="58"/>
      <c r="E9" s="58"/>
      <c r="F9" s="58"/>
    </row>
    <row r="10" spans="2:6" ht="22.5" customHeight="1" thickBot="1">
      <c r="B10" s="58"/>
      <c r="C10" s="58"/>
      <c r="D10" s="58"/>
      <c r="E10" s="58"/>
      <c r="F10" s="58"/>
    </row>
    <row r="11" spans="2:6" ht="48.5" customHeight="1" thickBot="1">
      <c r="B11" s="59"/>
      <c r="C11" s="61" t="s">
        <v>73</v>
      </c>
      <c r="D11" s="62" t="s">
        <v>83</v>
      </c>
      <c r="E11" s="57"/>
      <c r="F11" s="59"/>
    </row>
    <row r="12" spans="2:6" ht="48.5" customHeight="1" thickBot="1">
      <c r="B12" s="59"/>
      <c r="C12" s="61" t="s">
        <v>74</v>
      </c>
      <c r="D12" s="62" t="s">
        <v>84</v>
      </c>
      <c r="E12" s="57"/>
      <c r="F12" s="59"/>
    </row>
    <row r="13" spans="2:6">
      <c r="B13" s="59"/>
      <c r="C13" s="59"/>
      <c r="D13" s="59"/>
      <c r="E13" s="59"/>
      <c r="F13" s="59"/>
    </row>
    <row r="14" spans="2:6">
      <c r="B14" s="59"/>
      <c r="C14" s="59"/>
      <c r="D14" s="59"/>
      <c r="E14" s="59"/>
      <c r="F14" s="59"/>
    </row>
    <row r="15" spans="2:6">
      <c r="B15" s="59"/>
      <c r="C15" s="59"/>
      <c r="D15" s="59"/>
      <c r="E15" s="59"/>
      <c r="F15" s="59"/>
    </row>
    <row r="16" spans="2:6">
      <c r="B16" s="59"/>
      <c r="C16" s="59"/>
      <c r="D16" s="59"/>
      <c r="E16" s="59"/>
      <c r="F16" s="59"/>
    </row>
    <row r="17" spans="2:6">
      <c r="B17" s="59"/>
      <c r="C17" s="59"/>
      <c r="D17" s="59"/>
      <c r="E17" s="59"/>
      <c r="F17" s="59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main3">
                <anchor moveWithCells="1" sizeWithCells="1">
                  <from>
                    <xdr:col>2</xdr:col>
                    <xdr:colOff>0</xdr:colOff>
                    <xdr:row>13</xdr:row>
                    <xdr:rowOff>31750</xdr:rowOff>
                  </from>
                  <to>
                    <xdr:col>2</xdr:col>
                    <xdr:colOff>2921000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BtnSelect_RADlog_one_month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BtnSelect_RADlog_accoun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E5459-F3B2-4BEC-99CC-DB02BF571FAD}">
  <sheetPr codeName="Sheet3"/>
  <dimension ref="A1:I9"/>
  <sheetViews>
    <sheetView workbookViewId="0">
      <selection activeCell="I5" sqref="I5"/>
    </sheetView>
  </sheetViews>
  <sheetFormatPr defaultRowHeight="18"/>
  <cols>
    <col min="1" max="1" width="11.4140625" customWidth="1"/>
    <col min="2" max="2" width="28.4140625" customWidth="1"/>
    <col min="3" max="3" width="16.5" customWidth="1"/>
    <col min="4" max="4" width="24.9140625" customWidth="1"/>
    <col min="6" max="6" width="18.75" bestFit="1" customWidth="1"/>
    <col min="7" max="7" width="12.1640625" bestFit="1" customWidth="1"/>
    <col min="8" max="8" width="7.75" customWidth="1"/>
    <col min="9" max="9" width="9.58203125" bestFit="1" customWidth="1"/>
  </cols>
  <sheetData>
    <row r="1" spans="1:9">
      <c r="A1" s="15" t="s">
        <v>3</v>
      </c>
      <c r="B1" s="16"/>
      <c r="C1" s="16"/>
      <c r="D1" s="16"/>
      <c r="E1" s="16"/>
      <c r="F1" s="15" t="s">
        <v>4</v>
      </c>
      <c r="G1" s="16"/>
      <c r="H1" s="16"/>
      <c r="I1" s="16"/>
    </row>
    <row r="2" spans="1:9">
      <c r="A2" s="65" t="s">
        <v>46</v>
      </c>
      <c r="B2" s="65"/>
      <c r="C2" s="17"/>
      <c r="D2" s="16"/>
      <c r="E2" s="16"/>
      <c r="F2" s="17" t="s">
        <v>6</v>
      </c>
      <c r="G2" s="16"/>
      <c r="H2" s="16"/>
      <c r="I2" s="16"/>
    </row>
    <row r="3" spans="1:9">
      <c r="A3" s="18"/>
      <c r="B3" s="19" t="s">
        <v>7</v>
      </c>
      <c r="C3" s="19" t="s">
        <v>8</v>
      </c>
      <c r="D3" s="19" t="s">
        <v>9</v>
      </c>
      <c r="E3" s="16"/>
      <c r="F3" s="18"/>
      <c r="G3" s="19" t="s">
        <v>10</v>
      </c>
      <c r="H3" s="19" t="s">
        <v>53</v>
      </c>
      <c r="I3" s="19" t="s">
        <v>9</v>
      </c>
    </row>
    <row r="4" spans="1:9">
      <c r="A4" s="24" t="s">
        <v>11</v>
      </c>
      <c r="B4" s="24" t="s">
        <v>41</v>
      </c>
      <c r="C4" s="16" t="s">
        <v>12</v>
      </c>
      <c r="D4" s="32" t="s">
        <v>38</v>
      </c>
      <c r="E4" s="16"/>
      <c r="F4" s="25" t="s">
        <v>13</v>
      </c>
      <c r="G4" s="28" t="s">
        <v>13</v>
      </c>
      <c r="H4" s="28" t="s">
        <v>54</v>
      </c>
      <c r="I4" s="28" t="s">
        <v>38</v>
      </c>
    </row>
    <row r="5" spans="1:9" ht="25">
      <c r="A5" s="24" t="s">
        <v>14</v>
      </c>
      <c r="B5" s="24" t="s">
        <v>42</v>
      </c>
      <c r="C5" s="16" t="s">
        <v>44</v>
      </c>
      <c r="D5" s="32" t="s">
        <v>39</v>
      </c>
      <c r="E5" s="16"/>
      <c r="F5" s="26" t="s">
        <v>16</v>
      </c>
      <c r="G5" s="29" t="s">
        <v>15</v>
      </c>
      <c r="H5" s="29" t="s">
        <v>55</v>
      </c>
      <c r="I5" s="29" t="s">
        <v>32</v>
      </c>
    </row>
    <row r="6" spans="1:9" ht="25">
      <c r="A6" s="27" t="s">
        <v>36</v>
      </c>
      <c r="B6" s="24" t="s">
        <v>43</v>
      </c>
      <c r="C6" s="16" t="s">
        <v>37</v>
      </c>
      <c r="D6" s="32" t="s">
        <v>35</v>
      </c>
      <c r="E6" s="16"/>
      <c r="F6" s="25" t="s">
        <v>17</v>
      </c>
      <c r="G6" s="28" t="s">
        <v>18</v>
      </c>
      <c r="H6" s="28" t="s">
        <v>56</v>
      </c>
      <c r="I6" s="28" t="s">
        <v>33</v>
      </c>
    </row>
    <row r="7" spans="1:9" ht="62.5">
      <c r="A7" s="16"/>
      <c r="B7" s="16"/>
      <c r="C7" s="16"/>
      <c r="D7" s="16"/>
      <c r="E7" s="16"/>
      <c r="F7" s="26" t="s">
        <v>21</v>
      </c>
      <c r="G7" s="29" t="s">
        <v>22</v>
      </c>
      <c r="H7" s="29" t="s">
        <v>57</v>
      </c>
      <c r="I7" s="30" t="s">
        <v>59</v>
      </c>
    </row>
    <row r="8" spans="1:9" ht="50">
      <c r="A8" s="16"/>
      <c r="B8" s="20"/>
      <c r="C8" s="31" t="s">
        <v>27</v>
      </c>
      <c r="D8" s="21" t="s">
        <v>28</v>
      </c>
      <c r="E8" s="16"/>
      <c r="F8" s="26" t="s">
        <v>24</v>
      </c>
      <c r="G8" s="29" t="s">
        <v>25</v>
      </c>
      <c r="H8" s="29" t="s">
        <v>58</v>
      </c>
      <c r="I8" s="30" t="s">
        <v>30</v>
      </c>
    </row>
    <row r="9" spans="1:9" ht="52.5">
      <c r="E9" s="16"/>
      <c r="F9" s="16"/>
      <c r="G9" s="31" t="s">
        <v>29</v>
      </c>
      <c r="H9" s="31"/>
      <c r="I9" s="21" t="s">
        <v>28</v>
      </c>
    </row>
  </sheetData>
  <mergeCells count="1">
    <mergeCell ref="A2:B2"/>
  </mergeCells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92DFFA342D9A4C8227BFAEA06F89A3" ma:contentTypeVersion="3" ma:contentTypeDescription="新しいドキュメントを作成します。" ma:contentTypeScope="" ma:versionID="ecd4fe3021f17fb64760b0a8a40a621d">
  <xsd:schema xmlns:xsd="http://www.w3.org/2001/XMLSchema" xmlns:xs="http://www.w3.org/2001/XMLSchema" xmlns:p="http://schemas.microsoft.com/office/2006/metadata/properties" xmlns:ns2="782122df-e532-4cd2-8ea8-81da2130a1b1" targetNamespace="http://schemas.microsoft.com/office/2006/metadata/properties" ma:root="true" ma:fieldsID="d7b898eafe92637ff4c7ee0562a64860" ns2:_="">
    <xsd:import namespace="782122df-e532-4cd2-8ea8-81da2130a1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2122df-e532-4cd2-8ea8-81da2130a1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36E7508-AE7D-4578-AEBD-AD93FF20B3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2122df-e532-4cd2-8ea8-81da2130a1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0CEB7A-74C3-40EE-8258-08816A3B029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63E15DD-5530-439D-932E-21ACBFDFC30F}">
  <ds:schemaRefs>
    <ds:schemaRef ds:uri="http://purl.org/dc/dcmitype/"/>
    <ds:schemaRef ds:uri="http://purl.org/dc/elements/1.1/"/>
    <ds:schemaRef ds:uri="eeba83da-b087-49a8-b4b5-f6222a467c5c"/>
    <ds:schemaRef ds:uri="http://schemas.microsoft.com/office/infopath/2007/PartnerControls"/>
    <ds:schemaRef ds:uri="http://schemas.microsoft.com/office/2006/documentManagement/types"/>
    <ds:schemaRef ds:uri="http://purl.org/dc/terms/"/>
    <ds:schemaRef ds:uri="c01e7fd6-30c3-4413-9922-cd9237c9461d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20</vt:i4>
      </vt:variant>
    </vt:vector>
  </HeadingPairs>
  <TitlesOfParts>
    <vt:vector size="25" baseType="lpstr">
      <vt:lpstr>Main</vt:lpstr>
      <vt:lpstr>パラメーター</vt:lpstr>
      <vt:lpstr>キャリアサイト最終化</vt:lpstr>
      <vt:lpstr>キャリアブログ最終化</vt:lpstr>
      <vt:lpstr>param</vt:lpstr>
      <vt:lpstr>Input_FY</vt:lpstr>
      <vt:lpstr>Input_MM</vt:lpstr>
      <vt:lpstr>LogItem_ACJ</vt:lpstr>
      <vt:lpstr>LogItem_JS</vt:lpstr>
      <vt:lpstr>LogItem_PV</vt:lpstr>
      <vt:lpstr>LogItem_UU</vt:lpstr>
      <vt:lpstr>LogItemB_ACS</vt:lpstr>
      <vt:lpstr>LogItemB_EV</vt:lpstr>
      <vt:lpstr>LogItemB_PV</vt:lpstr>
      <vt:lpstr>LogItemB_UV</vt:lpstr>
      <vt:lpstr>LogItemB_V</vt:lpstr>
      <vt:lpstr>ReportItem_ACS</vt:lpstr>
      <vt:lpstr>ReportItem_EV</vt:lpstr>
      <vt:lpstr>ReportItem_PV</vt:lpstr>
      <vt:lpstr>ReportItem_UV</vt:lpstr>
      <vt:lpstr>ReportItem_V</vt:lpstr>
      <vt:lpstr>ReportName_FYACJ</vt:lpstr>
      <vt:lpstr>ReportName_FYJS</vt:lpstr>
      <vt:lpstr>ReportName_FYPV</vt:lpstr>
      <vt:lpstr>ReportName_FYUU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Mori, Yuki</dc:creator>
  <cp:keywords/>
  <dc:description/>
  <cp:lastModifiedBy>Hattori, Takao</cp:lastModifiedBy>
  <cp:revision/>
  <dcterms:created xsi:type="dcterms:W3CDTF">2022-09-01T02:22:00Z</dcterms:created>
  <dcterms:modified xsi:type="dcterms:W3CDTF">2026-08-28T06:32:43Z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0x010100B992DFFA342D9A4C8227BFAEA06F89A3</vt:lpwstr>
  </property>
  <property fmtid="{D5CDD505-2E9C-101B-9397-08002B2CF9AE}" pid="3" name="MediaServiceImageTags">
    <vt:lpwstr/>
  </property>
</Properties>
</file>